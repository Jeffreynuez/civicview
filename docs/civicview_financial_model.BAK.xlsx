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Assumptions" sheetId="2" state="visible" r:id="rId2"/>
    <sheet xmlns:r="http://schemas.openxmlformats.org/officeDocument/2006/relationships" name="2. ID.me costs by tier" sheetId="3" state="visible" r:id="rId3"/>
    <sheet xmlns:r="http://schemas.openxmlformats.org/officeDocument/2006/relationships" name="3. Break-even" sheetId="4" state="visible" r:id="rId4"/>
    <sheet xmlns:r="http://schemas.openxmlformats.org/officeDocument/2006/relationships" name="4. Render hosting tiers" sheetId="5" state="visible" r:id="rId5"/>
    <sheet xmlns:r="http://schemas.openxmlformats.org/officeDocument/2006/relationships" name="5. 5-Year P&amp;L" sheetId="6" state="visible" r:id="rId6"/>
    <sheet xmlns:r="http://schemas.openxmlformats.org/officeDocument/2006/relationships" name="6. Sensitivit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0.0%;\(0.0%\);\-"/>
    <numFmt numFmtId="166" formatCode="\$#,##0;&quot;($&quot;#,##0\);\-"/>
    <numFmt numFmtId="167" formatCode="\$#,##0.00;&quot;($&quot;#,##0.00\);\-"/>
    <numFmt numFmtId="168" formatCode="0.0&quot; months&quot;"/>
    <numFmt numFmtId="169" formatCode="$#,##0.00"/>
    <numFmt numFmtId="170" formatCode="$#,##0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2"/>
      <sz val="22"/>
    </font>
    <font>
      <name val="Arial"/>
      <charset val="1"/>
      <family val="0"/>
      <i val="1"/>
      <color rgb="FF5F5E5A"/>
      <sz val="11"/>
    </font>
    <font>
      <name val="Arial"/>
      <charset val="1"/>
      <family val="0"/>
      <b val="1"/>
      <color rgb="FF1F3A52"/>
      <sz val="14"/>
    </font>
    <font>
      <name val="Arial"/>
      <charset val="1"/>
      <family val="0"/>
      <b val="1"/>
      <color rgb="FF1F3A52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B71C1C"/>
      <sz val="14"/>
    </font>
    <font>
      <name val="Arial"/>
      <charset val="1"/>
      <family val="0"/>
      <color rgb="FFB71C1C"/>
      <sz val="10"/>
    </font>
    <font>
      <name val="Arial"/>
      <charset val="1"/>
      <family val="0"/>
      <b val="1"/>
      <color rgb="FF1F3A52"/>
      <sz val="16"/>
    </font>
    <font>
      <name val="Arial"/>
      <charset val="1"/>
      <family val="0"/>
      <i val="1"/>
      <color rgb="FF5F5E5A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2C2C2A"/>
      <sz val="11"/>
    </font>
    <font>
      <name val="Arial"/>
      <charset val="1"/>
      <family val="0"/>
      <color rgb="FF2C2C2A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5F5E5A"/>
      <sz val="9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F3A52"/>
      <sz val="10"/>
    </font>
    <font>
      <name val="Arial"/>
      <charset val="1"/>
      <family val="0"/>
      <color rgb="FF5F5E5A"/>
      <sz val="9"/>
    </font>
    <font>
      <name val="Calibri"/>
      <charset val="1"/>
      <family val="0"/>
      <i val="1"/>
      <color rgb="FF5F5E5A"/>
      <sz val="11"/>
    </font>
    <font>
      <name val="Arial"/>
      <charset val="1"/>
      <family val="0"/>
      <b val="1"/>
      <color rgb="FF00000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C2C2A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2C2C2A"/>
      <sz val="11"/>
    </font>
    <font>
      <name val="Calibri"/>
      <charset val="1"/>
      <family val="0"/>
      <b val="1"/>
      <color rgb="FF0000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00FF"/>
      <sz val="11"/>
    </font>
    <font>
      <b val="1"/>
    </font>
    <font>
      <color rgb="001F4E79"/>
    </font>
  </fonts>
  <fills count="4">
    <fill>
      <patternFill/>
    </fill>
    <fill>
      <patternFill patternType="gray125"/>
    </fill>
    <fill>
      <patternFill patternType="solid">
        <fgColor rgb="FF1F3A52"/>
        <bgColor rgb="FF2C2C2A"/>
      </patternFill>
    </fill>
    <fill>
      <patternFill patternType="solid">
        <fgColor rgb="FFFFF6D6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3A5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center" indent="1"/>
    </xf>
    <xf numFmtId="0" fontId="0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right" vertical="bottom"/>
    </xf>
    <xf numFmtId="166" fontId="17" fillId="0" borderId="0" applyAlignment="1" pivotButton="0" quotePrefix="0" xfId="0">
      <alignment horizontal="right" vertical="bottom"/>
    </xf>
    <xf numFmtId="166" fontId="19" fillId="0" borderId="0" applyAlignment="1" pivotButton="0" quotePrefix="0" xfId="0">
      <alignment horizontal="right" vertical="bottom"/>
    </xf>
    <xf numFmtId="167" fontId="1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6" fontId="23" fillId="0" borderId="1" applyAlignment="1" pivotButton="0" quotePrefix="0" xfId="0">
      <alignment horizontal="right" vertical="bottom"/>
    </xf>
    <xf numFmtId="0" fontId="24" fillId="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166" fontId="26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right" vertical="bottom"/>
    </xf>
    <xf numFmtId="167" fontId="32" fillId="0" borderId="0" applyAlignment="1" pivotButton="0" quotePrefix="0" xfId="0">
      <alignment horizontal="right" vertical="bottom"/>
    </xf>
    <xf numFmtId="168" fontId="19" fillId="0" borderId="0" applyAlignment="1" pivotButton="0" quotePrefix="0" xfId="0">
      <alignment horizontal="right" vertical="bottom"/>
    </xf>
    <xf numFmtId="166" fontId="32" fillId="0" borderId="0" applyAlignment="1" pivotButton="0" quotePrefix="0" xfId="0">
      <alignment horizontal="right" vertical="bottom"/>
    </xf>
    <xf numFmtId="164" fontId="19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166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bottom"/>
    </xf>
    <xf numFmtId="166" fontId="31" fillId="0" borderId="1" applyAlignment="1" pivotButton="0" quotePrefix="0" xfId="0">
      <alignment horizontal="right" vertical="bottom"/>
    </xf>
    <xf numFmtId="166" fontId="32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right" vertical="bottom"/>
    </xf>
    <xf numFmtId="166" fontId="31" fillId="0" borderId="0" applyAlignment="1" pivotButton="0" quotePrefix="0" xfId="0">
      <alignment horizontal="right" vertical="bottom"/>
    </xf>
    <xf numFmtId="165" fontId="1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center" indent="1"/>
    </xf>
    <xf numFmtId="0" fontId="0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right" vertical="bottom"/>
    </xf>
    <xf numFmtId="166" fontId="17" fillId="0" borderId="0" applyAlignment="1" pivotButton="0" quotePrefix="0" xfId="0">
      <alignment horizontal="right" vertical="bottom"/>
    </xf>
    <xf numFmtId="166" fontId="19" fillId="0" borderId="0" applyAlignment="1" pivotButton="0" quotePrefix="0" xfId="0">
      <alignment horizontal="right" vertical="bottom"/>
    </xf>
    <xf numFmtId="167" fontId="1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6" fontId="23" fillId="0" borderId="1" applyAlignment="1" pivotButton="0" quotePrefix="0" xfId="0">
      <alignment horizontal="right" vertical="bottom"/>
    </xf>
    <xf numFmtId="0" fontId="24" fillId="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166" fontId="26" fillId="0" borderId="0" applyAlignment="1" pivotButton="0" quotePrefix="0" xfId="0">
      <alignment horizontal="general" vertical="bottom"/>
    </xf>
    <xf numFmtId="0" fontId="34" fillId="0" borderId="0" pivotButton="0" quotePrefix="0" xfId="0"/>
    <xf numFmtId="169" fontId="0" fillId="0" borderId="0" pivotButton="0" quotePrefix="0" xfId="0"/>
    <xf numFmtId="0" fontId="35" fillId="0" borderId="0" pivotButton="0" quotePrefix="0" xfId="0"/>
    <xf numFmtId="170" fontId="0" fillId="0" borderId="0" pivotButton="0" quotePrefix="0" xfId="0"/>
    <xf numFmtId="0" fontId="30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right" vertical="bottom"/>
    </xf>
    <xf numFmtId="167" fontId="32" fillId="0" borderId="0" applyAlignment="1" pivotButton="0" quotePrefix="0" xfId="0">
      <alignment horizontal="right" vertical="bottom"/>
    </xf>
    <xf numFmtId="168" fontId="19" fillId="0" borderId="0" applyAlignment="1" pivotButton="0" quotePrefix="0" xfId="0">
      <alignment horizontal="right" vertical="bottom"/>
    </xf>
    <xf numFmtId="166" fontId="32" fillId="0" borderId="0" applyAlignment="1" pivotButton="0" quotePrefix="0" xfId="0">
      <alignment horizontal="right" vertical="bottom"/>
    </xf>
    <xf numFmtId="164" fontId="19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166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center" vertical="bottom"/>
    </xf>
    <xf numFmtId="166" fontId="31" fillId="0" borderId="1" applyAlignment="1" pivotButton="0" quotePrefix="0" xfId="0">
      <alignment horizontal="right" vertical="bottom"/>
    </xf>
    <xf numFmtId="166" fontId="32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right" vertical="bottom"/>
    </xf>
    <xf numFmtId="166" fontId="31" fillId="0" borderId="0" applyAlignment="1" pivotButton="0" quotePrefix="0" xfId="0">
      <alignment horizontal="right" vertical="bottom"/>
    </xf>
    <xf numFmtId="165" fontId="19" fillId="0" borderId="0" applyAlignment="1" pivotButton="0" quotePrefix="0" xfId="0">
      <alignment horizontal="right" vertical="bottom"/>
    </xf>
    <xf numFmtId="0" fontId="30" fillId="2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1F3A52"/>
      <rgbColor rgb="FF339966"/>
      <rgbColor rgb="FF003300"/>
      <rgbColor rgb="FF333300"/>
      <rgbColor rgb="FFB71C1C"/>
      <rgbColor rgb="FF993366"/>
      <rgbColor rgb="FF333399"/>
      <rgbColor rgb="FF2C2C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59" min="1" max="1"/>
    <col width="22" customWidth="1" style="59" min="2" max="2"/>
    <col width="60" customWidth="1" style="59" min="3" max="3"/>
  </cols>
  <sheetData>
    <row r="2" ht="26.25" customHeight="1" s="60">
      <c r="B2" s="61" t="inlineStr">
        <is>
          <t>CivicView Financial Model</t>
        </is>
      </c>
    </row>
    <row r="3" ht="15" customHeight="1" s="60">
      <c r="B3" s="62" t="inlineStr">
        <is>
          <t>Infrastructure-only · 5-year plan · Moderate growth ramp · 3% conversion</t>
        </is>
      </c>
    </row>
    <row r="5" ht="17.25" customHeight="1" s="60">
      <c r="B5" s="63" t="inlineStr">
        <is>
          <t>Sheets in this workbook</t>
        </is>
      </c>
    </row>
    <row r="6" ht="27.75" customHeight="1" s="60">
      <c r="B6" s="64" t="inlineStr">
        <is>
          <t>1. Assumptions</t>
        </is>
      </c>
      <c r="C6" s="65" t="inlineStr">
        <is>
          <t>All driver inputs. Blue cells are the ones you edit; everything else auto-recalculates.</t>
        </is>
      </c>
    </row>
    <row r="7" ht="27.75" customHeight="1" s="60">
      <c r="B7" s="64" t="inlineStr">
        <is>
          <t>2. ID.me costs by tier</t>
        </is>
      </c>
      <c r="C7" s="65" t="inlineStr">
        <is>
          <t>Point-in-time scenarios: what would verification cost if you hit 1K / 10K / 100K / 500K / 1M users.</t>
        </is>
      </c>
    </row>
    <row r="8" ht="27.75" customHeight="1" s="60">
      <c r="B8" s="64" t="inlineStr">
        <is>
          <t>3. Break-even</t>
        </is>
      </c>
      <c r="C8" s="65" t="inlineStr">
        <is>
          <t>Subscribers needed to cover monthly recurring costs at each user-count tier. Excludes one-time ID.me CAC.</t>
        </is>
      </c>
    </row>
    <row r="9" ht="27.75" customHeight="1" s="60">
      <c r="B9" s="64" t="inlineStr">
        <is>
          <t>4. Render hosting tiers</t>
        </is>
      </c>
      <c r="C9" s="65" t="inlineStr">
        <is>
          <t>Recommended Render config at each scale (1K → 100M users) with migration thresholds.</t>
        </is>
      </c>
    </row>
    <row r="10" ht="27.75" customHeight="1" s="60">
      <c r="B10" s="64" t="inlineStr">
        <is>
          <t>5. 5-Year P&amp;L</t>
        </is>
      </c>
      <c r="C10" s="65" t="inlineStr">
        <is>
          <t>Year-by-year revenue, costs, net income, and margin — driven by the Assumptions sheet.</t>
        </is>
      </c>
    </row>
    <row r="11" ht="27.75" customHeight="1" s="60">
      <c r="B11" s="64" t="inlineStr">
        <is>
          <t>6. Sensitivity</t>
        </is>
      </c>
      <c r="C11" s="65" t="inlineStr">
        <is>
          <t>Y5 net income across 3 growth ramps × 4 conversion rates. Your selected scenario highlighted.</t>
        </is>
      </c>
    </row>
    <row r="13" ht="17.25" customHeight="1" s="60">
      <c r="B13" s="63" t="inlineStr">
        <is>
          <t>How to use this model</t>
        </is>
      </c>
    </row>
    <row r="14" ht="27.75" customHeight="1" s="60">
      <c r="B14" s="65" t="inlineStr">
        <is>
          <t>1. Open the Assumptions sheet. Every blue cell is a knob — edit any of them and the rest of the workbook follows.</t>
        </is>
      </c>
    </row>
    <row r="15" ht="27.75" customHeight="1" s="60">
      <c r="B15" s="65" t="inlineStr">
        <is>
          <t>2. The model assumes infrastructure costs ONLY (Render + ID.me + APIs + domain). No salaries, no marketing.</t>
        </is>
      </c>
    </row>
    <row r="16" ht="27.75" customHeight="1" s="60">
      <c r="B16" s="65" t="inlineStr">
        <is>
          <t>3. Conversion rate (3%) and growth ramp (1K → 500K) match your selections. To stress-test, edit B11 (conversion) or B7:F7 (user counts).</t>
        </is>
      </c>
    </row>
    <row r="17" ht="27.75" customHeight="1" s="60">
      <c r="B17" s="65" t="inlineStr">
        <is>
          <t>4. The Sensitivity sheet is hardcoded so you can compare scenarios without disturbing the live model.</t>
        </is>
      </c>
    </row>
    <row r="18" ht="27.75" customHeight="1" s="60">
      <c r="B18" s="65" t="inlineStr">
        <is>
          <t>5. Color code: blue text = inputs you change. Black = formulas. Green = cross-sheet links. Yellow highlight = your scenario.</t>
        </is>
      </c>
    </row>
    <row r="20" ht="17.25" customHeight="1" s="60">
      <c r="B20" s="66" t="inlineStr">
        <is>
          <t>Key caveats</t>
        </is>
      </c>
    </row>
    <row r="21" ht="27.75" customHeight="1" s="60">
      <c r="B21" s="67" t="inlineStr">
        <is>
          <t>• Render pricing reflects mid-2025 published rates. Verify at render.com/pricing before committing — they revise quarterly.</t>
        </is>
      </c>
    </row>
    <row r="22" ht="27.75" customHeight="1" s="60">
      <c r="B22" s="67" t="inlineStr">
        <is>
          <t>• ID.me $1.50 is the public retail rate. Volume contracts (&gt;100K verifications/yr) typically negotiate to $0.80-$1.20.</t>
        </is>
      </c>
    </row>
    <row r="23" ht="27.75" customHeight="1" s="60">
      <c r="B23" s="67" t="inlineStr">
        <is>
          <t>• User growth is a guess. The 'moderate ramp' is reasonable for civic apps but real growth is bursty (election years spike).</t>
        </is>
      </c>
    </row>
    <row r="24" ht="27.75" customHeight="1" s="60">
      <c r="B24" s="67" t="inlineStr">
        <is>
          <t>• 3% conversion assumes a free-to-paid funnel where the paid tier offers clear value beyond the free experience.</t>
        </is>
      </c>
    </row>
    <row r="25" ht="27.75" customHeight="1" s="60">
      <c r="B25" s="67" t="inlineStr">
        <is>
          <t>• Beyond 1M users, Render alone won't be the right fit — plan to migrate or negotiate Enterprise terms.</t>
        </is>
      </c>
    </row>
  </sheetData>
  <mergeCells count="10">
    <mergeCell ref="B24:C24"/>
    <mergeCell ref="B21:C21"/>
    <mergeCell ref="B16:C16"/>
    <mergeCell ref="B15:C15"/>
    <mergeCell ref="B25:C25"/>
    <mergeCell ref="B23:C23"/>
    <mergeCell ref="B22:C22"/>
    <mergeCell ref="B14:C14"/>
    <mergeCell ref="B17:C17"/>
    <mergeCell ref="B18:C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59" min="1" max="1"/>
    <col width="14" customWidth="1" style="59" min="2" max="7"/>
    <col width="60" customWidth="1" style="59" min="8" max="8"/>
  </cols>
  <sheetData>
    <row r="1" ht="19.5" customHeight="1" s="60">
      <c r="A1" s="68" t="inlineStr">
        <is>
          <t>CivicView Financial Model — Assumptions</t>
        </is>
      </c>
    </row>
    <row r="2" ht="15" customHeight="1" s="60">
      <c r="A2" s="69" t="inlineStr">
        <is>
          <t>All blue cells are inputs. Change any of them and every other sheet recalculates.</t>
        </is>
      </c>
    </row>
    <row r="4" ht="21.75" customHeight="1" s="60">
      <c r="A4" s="70" t="inlineStr">
        <is>
          <t>User growth — moderate ramp (your selection)</t>
        </is>
      </c>
      <c r="B4" s="71" t="n"/>
      <c r="C4" s="71" t="n"/>
      <c r="D4" s="71" t="n"/>
      <c r="E4" s="71" t="n"/>
      <c r="F4" s="71" t="n"/>
      <c r="G4" s="71" t="n"/>
      <c r="H4" s="71" t="n"/>
    </row>
    <row r="5" ht="15" customHeight="1" s="60">
      <c r="A5" s="72" t="n"/>
    </row>
    <row r="6" ht="15" customHeight="1" s="60">
      <c r="A6" s="73" t="n"/>
      <c r="B6" s="74" t="inlineStr">
        <is>
          <t>Y1</t>
        </is>
      </c>
      <c r="C6" s="74" t="inlineStr">
        <is>
          <t>Y2</t>
        </is>
      </c>
      <c r="D6" s="74" t="inlineStr">
        <is>
          <t>Y3</t>
        </is>
      </c>
      <c r="E6" s="74" t="inlineStr">
        <is>
          <t>Y4</t>
        </is>
      </c>
      <c r="F6" s="74" t="inlineStr">
        <is>
          <t>Y5</t>
        </is>
      </c>
    </row>
    <row r="7" ht="15" customHeight="1" s="60">
      <c r="A7" s="75" t="inlineStr">
        <is>
          <t>Total users (end of year)</t>
        </is>
      </c>
      <c r="B7" s="76" t="n">
        <v>1000</v>
      </c>
      <c r="C7" s="76" t="n">
        <v>10000</v>
      </c>
      <c r="D7" s="76" t="n">
        <v>50000</v>
      </c>
      <c r="E7" s="76" t="n">
        <v>200000</v>
      </c>
      <c r="F7" s="76" t="n">
        <v>500000</v>
      </c>
      <c r="H7" s="77" t="inlineStr">
        <is>
          <t>↑ Edit these blue cells to reshape the growth curve.</t>
        </is>
      </c>
    </row>
    <row r="8" ht="15" customHeight="1" s="60">
      <c r="A8" s="75" t="inlineStr">
        <is>
          <t>New users added that year</t>
        </is>
      </c>
      <c r="B8" s="78">
        <f>B7</f>
        <v/>
      </c>
      <c r="C8" s="78">
        <f>C7-B7</f>
        <v/>
      </c>
      <c r="D8" s="78">
        <f>D7-C7</f>
        <v/>
      </c>
      <c r="E8" s="78">
        <f>E7-D7</f>
        <v/>
      </c>
      <c r="F8" s="78">
        <f>F7-E7</f>
        <v/>
      </c>
    </row>
    <row r="10" ht="21.75" customHeight="1" s="60">
      <c r="A10" s="70" t="inlineStr">
        <is>
          <t>Subscription economics</t>
        </is>
      </c>
      <c r="B10" s="71" t="n"/>
      <c r="C10" s="71" t="n"/>
      <c r="D10" s="71" t="n"/>
      <c r="E10" s="71" t="n"/>
      <c r="F10" s="71" t="n"/>
      <c r="G10" s="71" t="n"/>
      <c r="H10" s="71" t="n"/>
    </row>
    <row r="11" ht="15" customHeight="1" s="60">
      <c r="A11" s="75" t="inlineStr">
        <is>
          <t>Conversion rate (% of users who pay)</t>
        </is>
      </c>
      <c r="B11" s="79" t="n">
        <v>0.03</v>
      </c>
      <c r="H11" s="77" t="inlineStr">
        <is>
          <t>Industry typical for civic / public-interest apps: 1-5%. You chose 3%.</t>
        </is>
      </c>
    </row>
    <row r="12" ht="15" customHeight="1" s="60">
      <c r="A12" s="75" t="inlineStr">
        <is>
          <t>Subscription price per month</t>
        </is>
      </c>
      <c r="B12" s="80" t="n">
        <v>5</v>
      </c>
      <c r="H12" s="77" t="inlineStr">
        <is>
          <t>Per the original spec — adjust here, every sheet follows.</t>
        </is>
      </c>
    </row>
    <row r="13" ht="15" customHeight="1" s="60">
      <c r="A13" s="75" t="inlineStr">
        <is>
          <t>Annual price per subscriber</t>
        </is>
      </c>
      <c r="B13" s="81">
        <f>B12*12</f>
        <v/>
      </c>
      <c r="H13" s="77" t="inlineStr">
        <is>
          <t>Auto-derived. Don't edit.</t>
        </is>
      </c>
    </row>
    <row r="15" ht="21.75" customHeight="1" s="60">
      <c r="A15" s="70" t="inlineStr">
        <is>
          <t>ID.me verification costs</t>
        </is>
      </c>
      <c r="B15" s="71" t="n"/>
      <c r="C15" s="71" t="n"/>
      <c r="D15" s="71" t="n"/>
      <c r="E15" s="71" t="n"/>
      <c r="F15" s="71" t="n"/>
      <c r="G15" s="71" t="n"/>
      <c r="H15" s="71" t="n"/>
    </row>
    <row r="16" ht="15" customHeight="1" s="60">
      <c r="A16" s="75" t="inlineStr">
        <is>
          <t>Cost per verification (one-time)</t>
        </is>
      </c>
      <c r="B16" s="82" t="n">
        <v>1.5</v>
      </c>
      <c r="H16" s="77" t="inlineStr">
        <is>
          <t>Per ID.me public pricing — verify their current rate at idme.com.</t>
        </is>
      </c>
    </row>
    <row r="17" ht="15" customHeight="1" s="60">
      <c r="A17" s="75" t="inlineStr">
        <is>
          <t>% of total users who get verified</t>
        </is>
      </c>
      <c r="B17" s="79" t="n">
        <v>1</v>
      </c>
      <c r="H17" s="77" t="inlineStr">
        <is>
          <t>100% = required at signup. If verification is only for voting features, drop to 30-50%.</t>
        </is>
      </c>
    </row>
    <row r="18" ht="15" customHeight="1" s="60">
      <c r="A18" s="75" t="inlineStr">
        <is>
          <t>Annual re-verification rate</t>
        </is>
      </c>
      <c r="B18" s="79" t="n">
        <v>0</v>
      </c>
      <c r="H18" s="77" t="inlineStr">
        <is>
          <t>ID.me verifications typically last 3+ years. Set non-zero if you'll re-verify annually.</t>
        </is>
      </c>
    </row>
    <row r="20" ht="21.75" customHeight="1" s="60">
      <c r="A20" s="70" t="inlineStr">
        <is>
          <t>Render hosting — monthly cost at each user-count tier</t>
        </is>
      </c>
      <c r="B20" s="71" t="n"/>
      <c r="C20" s="71" t="n"/>
      <c r="D20" s="71" t="n"/>
      <c r="E20" s="71" t="n"/>
      <c r="F20" s="71" t="n"/>
      <c r="G20" s="71" t="n"/>
      <c r="H20" s="71" t="n"/>
    </row>
    <row r="21" ht="15" customHeight="1" s="60">
      <c r="A21" s="73" t="inlineStr">
        <is>
          <t>Tier (max users)</t>
        </is>
      </c>
      <c r="B21" s="83" t="inlineStr">
        <is>
          <t>Monthly cost</t>
        </is>
      </c>
      <c r="H21" s="84" t="inlineStr">
        <is>
          <t>Recommended Render configuration</t>
        </is>
      </c>
    </row>
    <row r="22" ht="15" customHeight="1" s="60">
      <c r="A22" s="75" t="inlineStr">
        <is>
          <t>≤ 1,000 users</t>
        </is>
      </c>
      <c r="B22" s="80" t="n">
        <v>50</v>
      </c>
      <c r="H22" s="85" t="inlineStr">
        <is>
          <t>Standard web ($25) + Basic 1GB Postgres ($19) + bandwidth free tier</t>
        </is>
      </c>
    </row>
    <row r="23" ht="15" customHeight="1" s="60">
      <c r="A23" s="75" t="inlineStr">
        <is>
          <t>≤ 10,000 users</t>
        </is>
      </c>
      <c r="B23" s="80" t="n">
        <v>180</v>
      </c>
      <c r="H23" s="85" t="inlineStr">
        <is>
          <t>Pro web ($85) + Basic 4GB Postgres ($95) + ~50GB bandwidth</t>
        </is>
      </c>
    </row>
    <row r="24" ht="15" customHeight="1" s="60">
      <c r="A24" s="75" t="inlineStr">
        <is>
          <t>≤ 50,000 users</t>
        </is>
      </c>
      <c r="B24" s="80" t="n">
        <v>450</v>
      </c>
      <c r="H24" s="85" t="inlineStr">
        <is>
          <t>2× Pro web ($170) + Pro 4GB Postgres ($185) + Redis ($30) + 200GB bandwidth</t>
        </is>
      </c>
    </row>
    <row r="25" ht="15" customHeight="1" s="60">
      <c r="A25" s="75" t="inlineStr">
        <is>
          <t>≤ 200,000 users</t>
        </is>
      </c>
      <c r="B25" s="80" t="n">
        <v>1000</v>
      </c>
      <c r="H25" s="85" t="inlineStr">
        <is>
          <t>2× Pro Plus ($350) + Pro 4GB Postgres ($185) + Redis ($85) + 500GB ($50) + buffer</t>
        </is>
      </c>
    </row>
    <row r="26" ht="15" customHeight="1" s="60">
      <c r="A26" s="75" t="inlineStr">
        <is>
          <t>≤ 500,000 users</t>
        </is>
      </c>
      <c r="B26" s="80" t="n">
        <v>2500</v>
      </c>
      <c r="H26" s="85" t="inlineStr">
        <is>
          <t>4× Pro Max ($1,800) + Pro 8GB Postgres ($345) + 2TB bandwidth ($200) + CDN</t>
        </is>
      </c>
    </row>
    <row r="27" ht="15" customHeight="1" s="60">
      <c r="A27" s="75" t="inlineStr">
        <is>
          <t>≤ 1,000,000 users</t>
        </is>
      </c>
      <c r="B27" s="80" t="n">
        <v>5000</v>
      </c>
      <c r="H27" s="85" t="inlineStr">
        <is>
          <t>Render Enterprise contract OR start AWS/GCP migration. 4× Pro Max + 16GB Postgres + 5TB bandwidth</t>
        </is>
      </c>
    </row>
    <row r="28" ht="15" customHeight="1" s="60">
      <c r="A28" s="75" t="inlineStr">
        <is>
          <t>≤ 10,000,000 users</t>
        </is>
      </c>
      <c r="B28" s="80" t="n">
        <v>25000</v>
      </c>
      <c r="H28" s="85" t="inlineStr">
        <is>
          <t>Migrate off Render: AWS/GCP multi-region, CDN, dedicated DB clusters</t>
        </is>
      </c>
    </row>
    <row r="29" ht="15" customHeight="1" s="60">
      <c r="A29" s="75" t="inlineStr">
        <is>
          <t>≤ 100,000,000 users</t>
        </is>
      </c>
      <c r="B29" s="80" t="n">
        <v>250000</v>
      </c>
      <c r="H29" s="85" t="inlineStr">
        <is>
          <t>Major infrastructure investment — custom cloud build, multi-region active-active, dedicated SRE team</t>
        </is>
      </c>
    </row>
    <row r="31" ht="21.75" customHeight="1" s="60">
      <c r="A31" s="70" t="inlineStr">
        <is>
          <t>Other recurring infrastructure costs (annual)</t>
        </is>
      </c>
      <c r="B31" s="71" t="n"/>
      <c r="C31" s="71" t="n"/>
      <c r="D31" s="71" t="n"/>
      <c r="E31" s="71" t="n"/>
      <c r="F31" s="71" t="n"/>
      <c r="G31" s="71" t="n"/>
      <c r="H31" s="71" t="n"/>
    </row>
    <row r="32" ht="15" customHeight="1" s="60">
      <c r="A32" s="75" t="inlineStr">
        <is>
          <t>Domain + DNS</t>
        </is>
      </c>
      <c r="B32" s="80" t="n">
        <v>50</v>
      </c>
      <c r="H32" s="85" t="inlineStr">
        <is>
          <t>civicview.app + Cloudflare/Namecheap</t>
        </is>
      </c>
    </row>
    <row r="33" ht="15" customHeight="1" s="60">
      <c r="A33" s="75" t="inlineStr">
        <is>
          <t>Anthropic API (Haiku for AI features)</t>
        </is>
      </c>
      <c r="B33" s="80" t="n">
        <v>500</v>
      </c>
      <c r="H33" s="85" t="inlineStr">
        <is>
          <t>Bill summaries, vote explainers — scales with users; assume modest at small scale</t>
        </is>
      </c>
    </row>
    <row r="34" ht="15" customHeight="1" s="60">
      <c r="A34" s="75" t="inlineStr">
        <is>
          <t>Email + transactional (Mailgun/Postmark)</t>
        </is>
      </c>
      <c r="B34" s="80" t="n">
        <v>300</v>
      </c>
      <c r="H34" s="85" t="inlineStr">
        <is>
          <t>Notifications, ack emails — free tier up to a few thousand sends</t>
        </is>
      </c>
    </row>
    <row r="35" ht="15" customHeight="1" s="60">
      <c r="A35" s="75" t="inlineStr">
        <is>
          <t>Monitoring (Sentry/Datadog)</t>
        </is>
      </c>
      <c r="B35" s="80" t="n">
        <v>200</v>
      </c>
      <c r="H35" s="85" t="inlineStr">
        <is>
          <t>Error tracking + uptime — free tiers cover early stage</t>
        </is>
      </c>
    </row>
    <row r="36" ht="15" customHeight="1" s="60">
      <c r="A36" s="75" t="inlineStr">
        <is>
          <t>Misc (legal, accounting templates, etc.)</t>
        </is>
      </c>
      <c r="B36" s="80" t="n">
        <v>500</v>
      </c>
      <c r="H36" s="86" t="inlineStr">
        <is>
          <t>Legal templates, accounting subscriptions, etc. Payment processing fees are broken out in the Payment processing section below.</t>
        </is>
      </c>
    </row>
    <row r="37" ht="15" customHeight="1" s="60">
      <c r="A37" s="73" t="inlineStr">
        <is>
          <t>Total other recurring (annual)</t>
        </is>
      </c>
      <c r="B37" s="87">
        <f>SUM(B32:B36)+B63+B66</f>
        <v/>
      </c>
    </row>
    <row r="39" ht="15" customHeight="1" s="60">
      <c r="A39" s="88" t="inlineStr">
        <is>
          <t>Payment processing — app store + web subscription fees</t>
        </is>
      </c>
      <c r="B39" s="71" t="n"/>
      <c r="C39" s="71" t="n"/>
      <c r="D39" s="71" t="n"/>
      <c r="E39" s="71" t="n"/>
      <c r="F39" s="71" t="n"/>
      <c r="G39" s="71" t="n"/>
      <c r="H39" s="71" t="n"/>
    </row>
    <row r="40" ht="15" customHeight="1" s="60">
      <c r="A40" s="89" t="inlineStr">
        <is>
          <t>iOS App Store revenue share</t>
        </is>
      </c>
      <c r="B40" s="90" t="n">
        <v>0.3</v>
      </c>
      <c r="H40" s="86" t="inlineStr">
        <is>
          <t>Share of paying subscribers who subscribe via iOS in-app purchase. Default 30% based on civic-app user mix.</t>
        </is>
      </c>
    </row>
    <row r="41" ht="15" customHeight="1" s="60">
      <c r="A41" s="89" t="inlineStr">
        <is>
          <t>Google Play revenue share</t>
        </is>
      </c>
      <c r="B41" s="90" t="n">
        <v>0.2</v>
      </c>
      <c r="H41" s="86" t="inlineStr">
        <is>
          <t>Android in-app purchase share. Default 20% — US civic apps skew slightly iOS.</t>
        </is>
      </c>
    </row>
    <row r="42" ht="15" customHeight="1" s="60">
      <c r="A42" s="89" t="inlineStr">
        <is>
          <t>Web (Stripe) revenue share</t>
        </is>
      </c>
      <c r="B42" s="91">
        <f>1-B40-B41</f>
        <v/>
      </c>
      <c r="H42" s="86" t="inlineStr">
        <is>
          <t>Auto = 1 - iOS - Android. If this goes negative, your iOS + Android shares sum &gt; 100%.</t>
        </is>
      </c>
    </row>
    <row r="43" ht="15" customHeight="1" s="60">
      <c r="A43" s="89" t="inlineStr">
        <is>
          <t>iOS App Store fee rate</t>
        </is>
      </c>
      <c r="B43" s="90" t="n">
        <v>0.15</v>
      </c>
      <c r="H43" s="86" t="inlineStr">
        <is>
          <t>Apple Small Business Program: 15% if App Store revenue &lt;$1M/yr. Flip to 30% once you cross that threshold.</t>
        </is>
      </c>
    </row>
    <row r="44" ht="15" customHeight="1" s="60">
      <c r="A44" s="89" t="inlineStr">
        <is>
          <t>Google Play fee rate</t>
        </is>
      </c>
      <c r="B44" s="90" t="n">
        <v>0.15</v>
      </c>
      <c r="H44" s="86" t="inlineStr">
        <is>
          <t>Google Play also 15% on first $1M/yr per developer; jumps to 30% beyond.</t>
        </is>
      </c>
    </row>
    <row r="45" ht="15" customHeight="1" s="60">
      <c r="A45" s="89" t="inlineStr">
        <is>
          <t>Stripe / web processing rate (effective)</t>
        </is>
      </c>
      <c r="B45" s="90" t="n">
        <v>0.05</v>
      </c>
      <c r="H45" s="86" t="inlineStr">
        <is>
          <t>Stripe 2.9% + $0.30 per transaction. On $5/mo billing the fixed fee dominates (~9% effective); annual billing drops to ~3.5%. 5% is a moderate blend.</t>
        </is>
      </c>
    </row>
    <row r="46" ht="15" customHeight="1" s="60">
      <c r="A46" s="92" t="inlineStr">
        <is>
          <t>Blended payment-processing rate</t>
        </is>
      </c>
      <c r="B46" s="93">
        <f>B40*B43+B41*B44+B42*B45</f>
        <v/>
      </c>
      <c r="H46" s="86" t="inlineStr">
        <is>
          <t>Auto: weighted average across iOS / Android / Web. The P&amp;L applies this to total subscription revenue.</t>
        </is>
      </c>
    </row>
    <row r="48" ht="15" customHeight="1" s="60">
      <c r="A48" s="88" t="inlineStr">
        <is>
          <t>Cybersecurity (external penetration testing)</t>
        </is>
      </c>
      <c r="B48" s="71" t="n"/>
      <c r="C48" s="71" t="n"/>
      <c r="D48" s="71" t="n"/>
      <c r="E48" s="71" t="n"/>
      <c r="F48" s="71" t="n"/>
      <c r="G48" s="71" t="n"/>
      <c r="H48" s="71" t="n"/>
    </row>
    <row r="49" ht="15" customHeight="1" s="60">
      <c r="B49" s="92" t="inlineStr">
        <is>
          <t>Y1</t>
        </is>
      </c>
      <c r="C49" s="92" t="inlineStr">
        <is>
          <t>Y2</t>
        </is>
      </c>
      <c r="D49" s="92" t="inlineStr">
        <is>
          <t>Y3</t>
        </is>
      </c>
      <c r="E49" s="92" t="inlineStr">
        <is>
          <t>Y4</t>
        </is>
      </c>
      <c r="F49" s="92" t="inlineStr">
        <is>
          <t>Y5</t>
        </is>
      </c>
    </row>
    <row r="50" ht="15" customHeight="1" s="60">
      <c r="A50" s="89" t="inlineStr">
        <is>
          <t>External penetration test (annual)</t>
        </is>
      </c>
      <c r="B50" s="94" t="n">
        <v>0</v>
      </c>
      <c r="C50" s="94" t="n">
        <v>5000</v>
      </c>
      <c r="D50" s="94" t="n">
        <v>10000</v>
      </c>
      <c r="E50" s="94" t="n">
        <v>15000</v>
      </c>
      <c r="F50" s="94" t="n">
        <v>20000</v>
      </c>
      <c r="H50" s="86" t="inlineStr">
        <is>
          <t>Y1 skipped — at 1K users, automated scanning (CodeQL + Dependabot) is sufficient. Y2 ($5K) first external review when revenue + user data justify the spend. Y3-Y5 ramp follows attack-surface growth. Bi-annual cadence past Y5 worth considering.</t>
        </is>
      </c>
    </row>
    <row r="52" ht="15" customHeight="1" s="60">
      <c r="A52" s="92" t="inlineStr">
        <is>
          <t>Notes</t>
        </is>
      </c>
    </row>
    <row r="53" ht="15" customHeight="1" s="60">
      <c r="A53" s="86" t="inlineStr">
        <is>
          <t>Notes</t>
        </is>
      </c>
    </row>
    <row r="54" ht="15" customHeight="1" s="60">
      <c r="A54" s="86" t="inlineStr">
        <is>
          <t>• Render pricing reflects published tiers as of mid-2025. Verify at render.com/pricing before committing — they update quarterly.</t>
        </is>
      </c>
    </row>
    <row r="55" ht="15" customHeight="1" s="60">
      <c r="A55" s="86" t="inlineStr">
        <is>
          <t>• ID.me $1.50 per verification is the public rate; volume contracts (&gt;100K verifications/yr) typically negotiate down to $0.80-$1.20.</t>
        </is>
      </c>
    </row>
    <row r="56" ht="15" customHeight="1" s="60">
      <c r="A56" s="86" t="inlineStr">
        <is>
          <t>• This model is INFRASTRUCTURE COSTS ONLY per your selection. Adding salaries / marketing / legal would shift break-even by 2-3 years.</t>
        </is>
      </c>
    </row>
    <row r="57" ht="15" customHeight="1" s="60">
      <c r="A57" s="86" t="inlineStr">
        <is>
          <t>• Cost-per-paying-subscriber at Y5 = ~$32 (mostly ID.me amortized + Render). LTV at $60/yr × 2yr average tenure = $120. Positive margin.</t>
        </is>
      </c>
    </row>
    <row r="58" ht="15" customHeight="1" s="60">
      <c r="A58" s="86" t="inlineStr">
        <is>
          <t>• Payment processing assumes a 30/20/50 iOS/Android/Web split. Adjust B40:B41 if your acquisition channel mix differs.</t>
        </is>
      </c>
    </row>
    <row r="59" ht="15" customHeight="1" s="60">
      <c r="A59" s="86" t="inlineStr">
        <is>
          <t>• App store fees stay at 15% under the Small Business Program ($1M/yr per store). Flip B43/B44 to 30% if you cross the threshold (~Y5 aggressive ramp).</t>
        </is>
      </c>
    </row>
    <row r="60" ht="15" customHeight="1" s="60">
      <c r="A60" s="86" t="inlineStr">
        <is>
          <t>• Penetration testing scales with attack surface. Y1 ($5K) reflects a small footprint; Y5 ($20K) anticipates 500K users + 3 identity types + admin moderation surface.</t>
        </is>
      </c>
    </row>
    <row r="62">
      <c r="A62" s="95" t="inlineStr">
        <is>
          <t>Additional recurring (added 2026-06)</t>
        </is>
      </c>
    </row>
    <row r="63">
      <c r="A63" t="inlineStr">
        <is>
          <t>Google Workspace Business Starter (annual)</t>
        </is>
      </c>
      <c r="B63" s="96">
        <f>8.4*12</f>
        <v/>
      </c>
      <c r="C63" t="inlineStr">
        <is>
          <t>$8.40/mo x 12 = $100.80/yr. Custom domain email + Drive/Docs for the founder.</t>
        </is>
      </c>
    </row>
    <row r="64">
      <c r="A64" t="inlineStr">
        <is>
          <t>Vote Smart API license — OPTIONAL toggle (1 = include, 0 = exclude)</t>
        </is>
      </c>
      <c r="B64" s="97" t="n">
        <v>0</v>
      </c>
      <c r="C64" t="inlineStr">
        <is>
          <t>Set to 1 to include the Vote Smart license cost in the model. Default 0 (off).</t>
        </is>
      </c>
    </row>
    <row r="65">
      <c r="A65" t="inlineStr">
        <is>
          <t>Vote Smart Public-Facing Platform License (annual list price)</t>
        </is>
      </c>
      <c r="B65" s="98" t="n">
        <v>4850</v>
      </c>
      <c r="C65" t="inlineStr">
        <is>
          <t>votesmart.org Public-Facing Platform License, 1-year subscription. Quoted June 2026.</t>
        </is>
      </c>
    </row>
    <row r="66">
      <c r="A66" t="inlineStr">
        <is>
          <t>Vote Smart applied (toggle x license)</t>
        </is>
      </c>
      <c r="B66" s="98">
        <f>B64*B65</f>
        <v/>
      </c>
      <c r="C66" t="inlineStr">
        <is>
          <t>Flows into 'Total other recurring' only when the toggle above = 1.</t>
        </is>
      </c>
    </row>
  </sheetData>
  <mergeCells count="8">
    <mergeCell ref="A56:H56"/>
    <mergeCell ref="A53:H53"/>
    <mergeCell ref="A55:H55"/>
    <mergeCell ref="A59:H59"/>
    <mergeCell ref="A57:H57"/>
    <mergeCell ref="A54:H54"/>
    <mergeCell ref="A60:H60"/>
    <mergeCell ref="A58:H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9" min="1" max="1"/>
    <col width="18" customWidth="1" style="59" min="2" max="3"/>
    <col width="22" customWidth="1" style="59" min="4" max="5"/>
    <col width="28" customWidth="1" style="59" min="6" max="6"/>
    <col width="60" customWidth="1" style="59" min="7" max="7"/>
  </cols>
  <sheetData>
    <row r="1" ht="19.5" customHeight="1" s="60">
      <c r="A1" s="68" t="inlineStr">
        <is>
          <t>ID.me verification costs — what would it cost if we hit X users?</t>
        </is>
      </c>
    </row>
    <row r="2" ht="15" customHeight="1" s="60">
      <c r="A2" s="69" t="inlineStr">
        <is>
          <t>One-time verification cost per user, applied across all verified users at each scale tier.</t>
        </is>
      </c>
    </row>
    <row r="4" ht="21.75" customHeight="1" s="60">
      <c r="A4" s="70" t="inlineStr">
        <is>
          <t>Scenario: total verification cost at each tier</t>
        </is>
      </c>
      <c r="B4" s="71" t="n"/>
      <c r="C4" s="71" t="n"/>
      <c r="D4" s="71" t="n"/>
      <c r="E4" s="71" t="n"/>
      <c r="F4" s="71" t="n"/>
      <c r="G4" s="71" t="n"/>
    </row>
    <row r="6" ht="31.5" customHeight="1" s="60">
      <c r="A6" s="99" t="inlineStr">
        <is>
          <t>User tier</t>
        </is>
      </c>
      <c r="B6" s="99" t="inlineStr">
        <is>
          <t>Verified users</t>
        </is>
      </c>
      <c r="C6" s="99" t="inlineStr">
        <is>
          <t>Cost / verification</t>
        </is>
      </c>
      <c r="D6" s="99" t="inlineStr">
        <is>
          <t>Total verification cost</t>
        </is>
      </c>
      <c r="E6" s="99" t="inlineStr">
        <is>
          <t>Amortized monthly (over 12mo)</t>
        </is>
      </c>
      <c r="F6" s="99" t="inlineStr">
        <is>
          <t>Months to recoup at 3% conversion</t>
        </is>
      </c>
      <c r="G6" s="99" t="inlineStr">
        <is>
          <t>Notes</t>
        </is>
      </c>
    </row>
    <row r="7" ht="15" customHeight="1" s="60">
      <c r="A7" s="100" t="inlineStr">
        <is>
          <t>1,000 users</t>
        </is>
      </c>
      <c r="B7" s="101">
        <f>1000*'1. Assumptions'!B17</f>
        <v/>
      </c>
      <c r="C7" s="102">
        <f>'1. Assumptions'!B16</f>
        <v/>
      </c>
      <c r="D7" s="81">
        <f>B7*C7</f>
        <v/>
      </c>
      <c r="E7" s="81">
        <f>D7/12</f>
        <v/>
      </c>
      <c r="F7" s="103">
        <f>D7/(B7*'1. Assumptions'!B11*'1. Assumptions'!B12)</f>
        <v/>
      </c>
      <c r="G7" s="85" t="inlineStr">
        <is>
          <t>Small starter — manageable burn.</t>
        </is>
      </c>
    </row>
    <row r="8" ht="15" customHeight="1" s="60">
      <c r="A8" s="100" t="inlineStr">
        <is>
          <t>10,000 users</t>
        </is>
      </c>
      <c r="B8" s="101">
        <f>10000*'1. Assumptions'!B17</f>
        <v/>
      </c>
      <c r="C8" s="102">
        <f>'1. Assumptions'!B16</f>
        <v/>
      </c>
      <c r="D8" s="81">
        <f>B8*C8</f>
        <v/>
      </c>
      <c r="E8" s="81">
        <f>D8/12</f>
        <v/>
      </c>
      <c r="F8" s="103">
        <f>D8/(B8*'1. Assumptions'!B11*'1. Assumptions'!B12)</f>
        <v/>
      </c>
      <c r="G8" s="85" t="inlineStr">
        <is>
          <t>10K is the inflection point where you need real customer support.</t>
        </is>
      </c>
    </row>
    <row r="9" ht="15" customHeight="1" s="60">
      <c r="A9" s="100" t="inlineStr">
        <is>
          <t>100,000 users</t>
        </is>
      </c>
      <c r="B9" s="101">
        <f>100000*'1. Assumptions'!B17</f>
        <v/>
      </c>
      <c r="C9" s="102">
        <f>'1. Assumptions'!B16</f>
        <v/>
      </c>
      <c r="D9" s="81">
        <f>B9*C9</f>
        <v/>
      </c>
      <c r="E9" s="81">
        <f>D9/12</f>
        <v/>
      </c>
      <c r="F9" s="103">
        <f>D9/(B9*'1. Assumptions'!B11*'1. Assumptions'!B12)</f>
        <v/>
      </c>
      <c r="G9" s="85" t="inlineStr">
        <is>
          <t>At 100K you can negotiate ID.me volume pricing — expect $1.00-$1.20.</t>
        </is>
      </c>
    </row>
    <row r="10" ht="15" customHeight="1" s="60">
      <c r="A10" s="100" t="inlineStr">
        <is>
          <t>500,000 users</t>
        </is>
      </c>
      <c r="B10" s="101">
        <f>500000*'1. Assumptions'!B17</f>
        <v/>
      </c>
      <c r="C10" s="102">
        <f>'1. Assumptions'!B16</f>
        <v/>
      </c>
      <c r="D10" s="81">
        <f>B10*C10</f>
        <v/>
      </c>
      <c r="E10" s="81">
        <f>D10/12</f>
        <v/>
      </c>
      <c r="F10" s="103">
        <f>D10/(B10*'1. Assumptions'!B11*'1. Assumptions'!B12)</f>
        <v/>
      </c>
      <c r="G10" s="85" t="inlineStr">
        <is>
          <t>At 500K verification cost = $750K. Major fundraise needed if upfront.</t>
        </is>
      </c>
    </row>
    <row r="11" ht="15" customHeight="1" s="60">
      <c r="A11" s="100" t="inlineStr">
        <is>
          <t>1,000,000 users</t>
        </is>
      </c>
      <c r="B11" s="101">
        <f>1000000*'1. Assumptions'!B17</f>
        <v/>
      </c>
      <c r="C11" s="102">
        <f>'1. Assumptions'!B16</f>
        <v/>
      </c>
      <c r="D11" s="81">
        <f>B11*C11</f>
        <v/>
      </c>
      <c r="E11" s="81">
        <f>D11/12</f>
        <v/>
      </c>
      <c r="F11" s="103">
        <f>D11/(B11*'1. Assumptions'!B11*'1. Assumptions'!B12)</f>
        <v/>
      </c>
      <c r="G11" s="85" t="inlineStr">
        <is>
          <t>At 1M users this is a $1.5M line item — verify is a strategic decision.</t>
        </is>
      </c>
    </row>
    <row r="13" ht="15" customHeight="1" s="60">
      <c r="A13" s="64" t="inlineStr">
        <is>
          <t>Key insight</t>
        </is>
      </c>
    </row>
    <row r="14" ht="30" customHeight="1" s="60">
      <c r="A14" s="65" t="inlineStr">
        <is>
          <t>• Verification cost is NOT a per-month cost — it's a one-time hit at the moment of user signup. Your model should treat it as customer-acquisition cost (CAC).</t>
        </is>
      </c>
    </row>
    <row r="15" ht="30" customHeight="1" s="60">
      <c r="A15" s="65" t="inlineStr">
        <is>
          <t>• At 3% conversion + $5/mo, each paying subscriber generates $60/yr. The $1.50 verification cost is recouped within the first month of any single subscriber.</t>
        </is>
      </c>
    </row>
    <row r="16" ht="30" customHeight="1" s="60">
      <c r="A16" s="65" t="inlineStr">
        <is>
          <t>• But: you're paying $1.50 for 100% of users while only 3% pay. Effective CAC per paying subscriber = $1.50 / 0.03 = $50 just for verification. Still healthy vs. $60/yr LTV per paying user.</t>
        </is>
      </c>
    </row>
    <row r="17" ht="30" customHeight="1" s="60">
      <c r="A17" s="65" t="inlineStr">
        <is>
          <t>• If verification is only required for voting features (not signup), and only 30% of users verify, your effective CAC drops to $50 × 30% = $15 per paid sub. Worth considering as a product decision.</t>
        </is>
      </c>
    </row>
  </sheetData>
  <mergeCells count="4">
    <mergeCell ref="A14:G14"/>
    <mergeCell ref="A16:G16"/>
    <mergeCell ref="A15:G15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9" min="1" max="1"/>
    <col width="14" customWidth="1" style="59" min="2" max="4"/>
    <col width="16" customWidth="1" style="59" min="5" max="5"/>
    <col width="18" customWidth="1" style="59" min="6" max="6"/>
    <col width="14" customWidth="1" style="59" min="7" max="7"/>
    <col width="18" customWidth="1" style="59" min="8" max="8"/>
  </cols>
  <sheetData>
    <row r="1" ht="19.5" customHeight="1" s="60">
      <c r="A1" s="68" t="inlineStr">
        <is>
          <t>Break-even — how many paying subscribers to cover monthly costs?</t>
        </is>
      </c>
    </row>
    <row r="2" ht="15" customHeight="1" s="60">
      <c r="A2" s="69" t="inlineStr">
        <is>
          <t>Excludes one-time ID.me costs (those are CAC, not recurring). Recurring = Render hosting + other infra.</t>
        </is>
      </c>
    </row>
    <row r="4" ht="21.75" customHeight="1" s="60">
      <c r="A4" s="70" t="inlineStr">
        <is>
          <t>Monthly break-even at each user-count tier</t>
        </is>
      </c>
      <c r="B4" s="71" t="n"/>
      <c r="C4" s="71" t="n"/>
      <c r="D4" s="71" t="n"/>
      <c r="E4" s="71" t="n"/>
      <c r="F4" s="71" t="n"/>
      <c r="G4" s="71" t="n"/>
      <c r="H4" s="71" t="n"/>
    </row>
    <row r="6" ht="31.5" customHeight="1" s="60">
      <c r="A6" s="99" t="inlineStr">
        <is>
          <t>User tier</t>
        </is>
      </c>
      <c r="B6" s="99" t="inlineStr">
        <is>
          <t>Render monthly</t>
        </is>
      </c>
      <c r="C6" s="99" t="inlineStr">
        <is>
          <t>Other infra /mo</t>
        </is>
      </c>
      <c r="D6" s="99" t="inlineStr">
        <is>
          <t>Total monthly cost</t>
        </is>
      </c>
      <c r="E6" s="99" t="inlineStr">
        <is>
          <t>Break-even subs needed</t>
        </is>
      </c>
      <c r="F6" s="99" t="inlineStr">
        <is>
          <t>Subs at 3% conversion</t>
        </is>
      </c>
      <c r="G6" s="99" t="inlineStr">
        <is>
          <t>Surplus / (deficit) subs</t>
        </is>
      </c>
      <c r="H6" s="99" t="inlineStr">
        <is>
          <t>Monthly net at 3%</t>
        </is>
      </c>
    </row>
    <row r="7" ht="15" customHeight="1" s="60">
      <c r="A7" s="100" t="inlineStr">
        <is>
          <t>1,000 users</t>
        </is>
      </c>
      <c r="B7" s="104">
        <f>'1. Assumptions'!B22</f>
        <v/>
      </c>
      <c r="C7" s="104">
        <f>'1. Assumptions'!B37/12</f>
        <v/>
      </c>
      <c r="D7" s="81">
        <f>B7+C7</f>
        <v/>
      </c>
      <c r="E7" s="105">
        <f>ROUNDUP(D7/('1. Assumptions'!$B$12*(1-'1. Assumptions'!$B$46)),0)</f>
        <v/>
      </c>
      <c r="F7" s="105">
        <f>1000*'1. Assumptions'!B11</f>
        <v/>
      </c>
      <c r="G7" s="105">
        <f>F7-E7</f>
        <v/>
      </c>
      <c r="H7" s="81">
        <f>F7*'1. Assumptions'!$B$12*(1-'1. Assumptions'!$B$46)-D7</f>
        <v/>
      </c>
    </row>
    <row r="8" ht="15" customHeight="1" s="60">
      <c r="A8" s="100" t="inlineStr">
        <is>
          <t>10,000 users</t>
        </is>
      </c>
      <c r="B8" s="104">
        <f>'1. Assumptions'!B23</f>
        <v/>
      </c>
      <c r="C8" s="104">
        <f>'1. Assumptions'!B37/12</f>
        <v/>
      </c>
      <c r="D8" s="81">
        <f>B8+C8</f>
        <v/>
      </c>
      <c r="E8" s="105">
        <f>ROUNDUP(D8/('1. Assumptions'!$B$12*(1-'1. Assumptions'!$B$46)),0)</f>
        <v/>
      </c>
      <c r="F8" s="105">
        <f>10000*'1. Assumptions'!B11</f>
        <v/>
      </c>
      <c r="G8" s="105">
        <f>F8-E8</f>
        <v/>
      </c>
      <c r="H8" s="81">
        <f>F8*'1. Assumptions'!$B$12*(1-'1. Assumptions'!$B$46)-D8</f>
        <v/>
      </c>
    </row>
    <row r="9" ht="15" customHeight="1" s="60">
      <c r="A9" s="100" t="inlineStr">
        <is>
          <t>50,000 users</t>
        </is>
      </c>
      <c r="B9" s="104">
        <f>'1. Assumptions'!B24</f>
        <v/>
      </c>
      <c r="C9" s="104">
        <f>'1. Assumptions'!B37/12</f>
        <v/>
      </c>
      <c r="D9" s="81">
        <f>B9+C9</f>
        <v/>
      </c>
      <c r="E9" s="105">
        <f>ROUNDUP(D9/('1. Assumptions'!$B$12*(1-'1. Assumptions'!$B$46)),0)</f>
        <v/>
      </c>
      <c r="F9" s="105">
        <f>50000*'1. Assumptions'!B11</f>
        <v/>
      </c>
      <c r="G9" s="105">
        <f>F9-E9</f>
        <v/>
      </c>
      <c r="H9" s="81">
        <f>F9*'1. Assumptions'!$B$12*(1-'1. Assumptions'!$B$46)-D9</f>
        <v/>
      </c>
    </row>
    <row r="10" ht="15" customHeight="1" s="60">
      <c r="A10" s="100" t="inlineStr">
        <is>
          <t>100,000 users</t>
        </is>
      </c>
      <c r="B10" s="104">
        <f>'1. Assumptions'!B24</f>
        <v/>
      </c>
      <c r="C10" s="104">
        <f>'1. Assumptions'!B37/12</f>
        <v/>
      </c>
      <c r="D10" s="81">
        <f>B10+C10</f>
        <v/>
      </c>
      <c r="E10" s="105">
        <f>ROUNDUP(D10/('1. Assumptions'!$B$12*(1-'1. Assumptions'!$B$46)),0)</f>
        <v/>
      </c>
      <c r="F10" s="105">
        <f>100000*'1. Assumptions'!B11</f>
        <v/>
      </c>
      <c r="G10" s="105">
        <f>F10-E10</f>
        <v/>
      </c>
      <c r="H10" s="81">
        <f>F10*'1. Assumptions'!$B$12*(1-'1. Assumptions'!$B$46)-D10</f>
        <v/>
      </c>
    </row>
    <row r="11" ht="15" customHeight="1" s="60">
      <c r="A11" s="100" t="inlineStr">
        <is>
          <t>200,000 users</t>
        </is>
      </c>
      <c r="B11" s="104">
        <f>'1. Assumptions'!B25</f>
        <v/>
      </c>
      <c r="C11" s="104">
        <f>'1. Assumptions'!B37/12</f>
        <v/>
      </c>
      <c r="D11" s="81">
        <f>B11+C11</f>
        <v/>
      </c>
      <c r="E11" s="105">
        <f>ROUNDUP(D11/('1. Assumptions'!$B$12*(1-'1. Assumptions'!$B$46)),0)</f>
        <v/>
      </c>
      <c r="F11" s="105">
        <f>200000*'1. Assumptions'!B11</f>
        <v/>
      </c>
      <c r="G11" s="105">
        <f>F11-E11</f>
        <v/>
      </c>
      <c r="H11" s="81">
        <f>F11*'1. Assumptions'!$B$12*(1-'1. Assumptions'!$B$46)-D11</f>
        <v/>
      </c>
    </row>
    <row r="12" ht="15" customHeight="1" s="60">
      <c r="A12" s="100" t="inlineStr">
        <is>
          <t>500,000 users</t>
        </is>
      </c>
      <c r="B12" s="104">
        <f>'1. Assumptions'!B26</f>
        <v/>
      </c>
      <c r="C12" s="104">
        <f>'1. Assumptions'!B37/12</f>
        <v/>
      </c>
      <c r="D12" s="81">
        <f>B12+C12</f>
        <v/>
      </c>
      <c r="E12" s="105">
        <f>ROUNDUP(D12/('1. Assumptions'!$B$12*(1-'1. Assumptions'!$B$46)),0)</f>
        <v/>
      </c>
      <c r="F12" s="105">
        <f>500000*'1. Assumptions'!B11</f>
        <v/>
      </c>
      <c r="G12" s="105">
        <f>F12-E12</f>
        <v/>
      </c>
      <c r="H12" s="81">
        <f>F12*'1. Assumptions'!$B$12*(1-'1. Assumptions'!$B$46)-D12</f>
        <v/>
      </c>
    </row>
    <row r="13" ht="15" customHeight="1" s="60">
      <c r="A13" s="100" t="inlineStr">
        <is>
          <t>1,000,000 users</t>
        </is>
      </c>
      <c r="B13" s="104">
        <f>'1. Assumptions'!B27</f>
        <v/>
      </c>
      <c r="C13" s="104">
        <f>'1. Assumptions'!B37/12</f>
        <v/>
      </c>
      <c r="D13" s="81">
        <f>B13+C13</f>
        <v/>
      </c>
      <c r="E13" s="105">
        <f>ROUNDUP(D13/('1. Assumptions'!$B$12*(1-'1. Assumptions'!$B$46)),0)</f>
        <v/>
      </c>
      <c r="F13" s="105">
        <f>1000000*'1. Assumptions'!B11</f>
        <v/>
      </c>
      <c r="G13" s="105">
        <f>F13-E13</f>
        <v/>
      </c>
      <c r="H13" s="81">
        <f>F13*'1. Assumptions'!$B$12*(1-'1. Assumptions'!$B$46)-D13</f>
        <v/>
      </c>
    </row>
    <row r="16" ht="15" customHeight="1" s="60">
      <c r="A16" s="64" t="inlineStr">
        <is>
          <t>What this tells you</t>
        </is>
      </c>
    </row>
    <row r="17" ht="30" customHeight="1" s="60">
      <c r="A17" s="65" t="inlineStr">
        <is>
          <t>• At 1K users, you need 27 paying subscribers. At 3% conversion you get 30 — wafer-thin margin but technically profitable on recurring costs.</t>
        </is>
      </c>
    </row>
    <row r="18" ht="30" customHeight="1" s="60">
      <c r="A18" s="65" t="inlineStr">
        <is>
          <t>• At 10K users (Y2 in your ramp), you're comfortable: 300 subs at 3% vs ~50 needed to cover Render. Most of the margin starts flowing here.</t>
        </is>
      </c>
    </row>
    <row r="19" ht="30" customHeight="1" s="60">
      <c r="A19" s="65" t="inlineStr">
        <is>
          <t>• At 50K-100K users the Render cost barely grows (same tier) so margin expands rapidly. This is where the business gets healthy.</t>
        </is>
      </c>
    </row>
    <row r="20" ht="30" customHeight="1" s="60">
      <c r="A20" s="65" t="inlineStr">
        <is>
          <t>• Beyond 500K, you should renegotiate Render Enterprise OR plan a cloud migration. The $5K/mo for 1M users is likely a starting point for negotiation, not a ceiling.</t>
        </is>
      </c>
    </row>
    <row r="22" ht="15" customHeight="1" s="60">
      <c r="A22" s="106" t="inlineStr">
        <is>
          <t>• Subs-needed (col E) and monthly-net (col H) now use the post-fee effective sub price = $5 × (1 - blended payment rate). At default 30/20/50 iOS/Android/Web mix the blended rate is ~10%, so effective price is $4.50.</t>
        </is>
      </c>
    </row>
  </sheetData>
  <mergeCells count="4">
    <mergeCell ref="A18:H18"/>
    <mergeCell ref="A20:H20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9" min="1" max="1"/>
    <col width="28" customWidth="1" style="59" min="2" max="2"/>
    <col width="24" customWidth="1" style="59" min="3" max="3"/>
    <col width="18" customWidth="1" style="59" min="4" max="5"/>
    <col width="60" customWidth="1" style="59" min="6" max="6"/>
  </cols>
  <sheetData>
    <row r="1" ht="19.5" customHeight="1" s="60">
      <c r="A1" s="68" t="inlineStr">
        <is>
          <t>Render hosting — configuration at each scale</t>
        </is>
      </c>
    </row>
    <row r="2" ht="15" customHeight="1" s="60">
      <c r="A2" s="69" t="inlineStr">
        <is>
          <t>Recommended Render config + monthly cost at each user-count milestone. Beyond 1M, plan to renegotiate or migrate.</t>
        </is>
      </c>
    </row>
    <row r="4" ht="21.75" customHeight="1" s="60">
      <c r="A4" s="70" t="inlineStr">
        <is>
          <t>Hosting recommendations</t>
        </is>
      </c>
      <c r="B4" s="71" t="n"/>
      <c r="C4" s="71" t="n"/>
      <c r="D4" s="71" t="n"/>
      <c r="E4" s="71" t="n"/>
      <c r="F4" s="71" t="n"/>
    </row>
    <row r="6" ht="31.5" customHeight="1" s="60">
      <c r="A6" s="99" t="inlineStr">
        <is>
          <t>User count</t>
        </is>
      </c>
      <c r="B6" s="99" t="inlineStr">
        <is>
          <t>Web service</t>
        </is>
      </c>
      <c r="C6" s="99" t="inlineStr">
        <is>
          <t>Postgres</t>
        </is>
      </c>
      <c r="D6" s="99" t="inlineStr">
        <is>
          <t>Bandwidth</t>
        </is>
      </c>
      <c r="E6" s="99" t="inlineStr">
        <is>
          <t>Monthly cost</t>
        </is>
      </c>
      <c r="F6" s="99" t="inlineStr">
        <is>
          <t>Notes / when to upgrade</t>
        </is>
      </c>
    </row>
    <row r="7" ht="31.5" customHeight="1" s="60">
      <c r="A7" s="100" t="inlineStr">
        <is>
          <t>1,000 users</t>
        </is>
      </c>
      <c r="B7" s="106" t="inlineStr">
        <is>
          <t>Standard ($25)</t>
        </is>
      </c>
      <c r="C7" s="106" t="inlineStr">
        <is>
          <t>Basic 1GB ($19)</t>
        </is>
      </c>
      <c r="D7" s="106" t="inlineStr">
        <is>
          <t>Free tier (100GB)</t>
        </is>
      </c>
      <c r="E7" s="107" t="n">
        <v>50</v>
      </c>
      <c r="F7" s="108" t="inlineStr">
        <is>
          <t>Stays here through Y1. Single instance is fine.</t>
        </is>
      </c>
    </row>
    <row r="8" ht="31.5" customHeight="1" s="60">
      <c r="A8" s="100" t="inlineStr">
        <is>
          <t>10,000 users</t>
        </is>
      </c>
      <c r="B8" s="106" t="inlineStr">
        <is>
          <t>Pro ($85)</t>
        </is>
      </c>
      <c r="C8" s="106" t="inlineStr">
        <is>
          <t>Basic 4GB ($95)</t>
        </is>
      </c>
      <c r="D8" s="106" t="inlineStr">
        <is>
          <t>~50GB ($0)</t>
        </is>
      </c>
      <c r="E8" s="107" t="n">
        <v>180</v>
      </c>
      <c r="F8" s="108" t="inlineStr">
        <is>
          <t>Upgrade web to Pro when concurrent users exceed ~200.</t>
        </is>
      </c>
    </row>
    <row r="9" ht="31.5" customHeight="1" s="60">
      <c r="A9" s="100" t="inlineStr">
        <is>
          <t>50,000 users</t>
        </is>
      </c>
      <c r="B9" s="106" t="inlineStr">
        <is>
          <t>2× Pro ($170) + Redis ($30)</t>
        </is>
      </c>
      <c r="C9" s="106" t="inlineStr">
        <is>
          <t>Pro 4GB ($185)</t>
        </is>
      </c>
      <c r="D9" s="106" t="inlineStr">
        <is>
          <t>200GB ($10)</t>
        </is>
      </c>
      <c r="E9" s="107" t="n">
        <v>450</v>
      </c>
      <c r="F9" s="108" t="inlineStr">
        <is>
          <t>Autoscale + Redis caching is the big jump. Postgres needs HA + automated backups.</t>
        </is>
      </c>
    </row>
    <row r="10" ht="31.5" customHeight="1" s="60">
      <c r="A10" s="100" t="inlineStr">
        <is>
          <t>100,000 users</t>
        </is>
      </c>
      <c r="B10" s="106" t="inlineStr">
        <is>
          <t>2-3× Pro ($170-255) + Redis ($30)</t>
        </is>
      </c>
      <c r="C10" s="106" t="inlineStr">
        <is>
          <t>Pro 4GB ($185)</t>
        </is>
      </c>
      <c r="D10" s="106" t="inlineStr">
        <is>
          <t>500GB ($40)</t>
        </is>
      </c>
      <c r="E10" s="107" t="n">
        <v>450</v>
      </c>
      <c r="F10" s="108" t="inlineStr">
        <is>
          <t>Same shape as 50K — bandwidth scales but compute is OK with caching.</t>
        </is>
      </c>
    </row>
    <row r="11" ht="31.5" customHeight="1" s="60">
      <c r="A11" s="100" t="inlineStr">
        <is>
          <t>200,000 users</t>
        </is>
      </c>
      <c r="B11" s="106" t="inlineStr">
        <is>
          <t>2× Pro Plus ($350) + Redis ($85)</t>
        </is>
      </c>
      <c r="C11" s="106" t="inlineStr">
        <is>
          <t>Pro 4GB ($185)</t>
        </is>
      </c>
      <c r="D11" s="106" t="inlineStr">
        <is>
          <t>1TB ($100)</t>
        </is>
      </c>
      <c r="E11" s="107" t="n">
        <v>1000</v>
      </c>
      <c r="F11" s="108" t="inlineStr">
        <is>
          <t>Memory headroom for connection pooling. Consider replica reads.</t>
        </is>
      </c>
    </row>
    <row r="12" ht="31.5" customHeight="1" s="60">
      <c r="A12" s="100" t="inlineStr">
        <is>
          <t>500,000 users</t>
        </is>
      </c>
      <c r="B12" s="106" t="inlineStr">
        <is>
          <t>4× Pro Max ($1,800)</t>
        </is>
      </c>
      <c r="C12" s="106" t="inlineStr">
        <is>
          <t>Pro 8GB ($345) + replica</t>
        </is>
      </c>
      <c r="D12" s="106" t="inlineStr">
        <is>
          <t>2TB ($200)</t>
        </is>
      </c>
      <c r="E12" s="107" t="n">
        <v>2500</v>
      </c>
      <c r="F12" s="108" t="inlineStr">
        <is>
          <t>Multi-region warm-failover. Renegotiate with Render.</t>
        </is>
      </c>
    </row>
    <row r="13" ht="31.5" customHeight="1" s="60">
      <c r="A13" s="100" t="inlineStr">
        <is>
          <t>1,000,000 users</t>
        </is>
      </c>
      <c r="B13" s="106" t="inlineStr">
        <is>
          <t>Render Enterprise contract</t>
        </is>
      </c>
      <c r="C13" s="106" t="inlineStr">
        <is>
          <t>Pro 16GB ($770)</t>
        </is>
      </c>
      <c r="D13" s="106" t="inlineStr">
        <is>
          <t>5TB ($500)</t>
        </is>
      </c>
      <c r="E13" s="107" t="n">
        <v>5000</v>
      </c>
      <c r="F13" s="108" t="inlineStr">
        <is>
          <t>Negotiate volume discount with Render OR start AWS/GCP migration plan.</t>
        </is>
      </c>
    </row>
    <row r="14" ht="31.5" customHeight="1" s="60">
      <c r="A14" s="100" t="inlineStr">
        <is>
          <t>10,000,000 users</t>
        </is>
      </c>
      <c r="B14" s="106" t="inlineStr">
        <is>
          <t>Migrated to AWS/GCP multi-region</t>
        </is>
      </c>
      <c r="C14" s="106" t="inlineStr">
        <is>
          <t>Dedicated DB cluster ~$8K</t>
        </is>
      </c>
      <c r="D14" s="106" t="inlineStr">
        <is>
          <t>CDN + WAF ~$5K</t>
        </is>
      </c>
      <c r="E14" s="107" t="n">
        <v>25000</v>
      </c>
      <c r="F14" s="108" t="inlineStr">
        <is>
          <t>Render alone won't scale here. Need DevOps/SRE. Plan migration at ~3M users.</t>
        </is>
      </c>
    </row>
    <row r="15" ht="31.5" customHeight="1" s="60">
      <c r="A15" s="100" t="inlineStr">
        <is>
          <t>100,000,000 users</t>
        </is>
      </c>
      <c r="B15" s="106" t="inlineStr">
        <is>
          <t>Multi-cloud, dedicated SRE team</t>
        </is>
      </c>
      <c r="C15" s="106" t="inlineStr">
        <is>
          <t>Sharded clusters ~$50K+</t>
        </is>
      </c>
      <c r="D15" s="106" t="inlineStr">
        <is>
          <t>Global CDN ~$30K</t>
        </is>
      </c>
      <c r="E15" s="107" t="n">
        <v>250000</v>
      </c>
      <c r="F15" s="108" t="inlineStr">
        <is>
          <t>FAANG-tier infrastructure investment. Custom platform engineering. Real-time data layer.</t>
        </is>
      </c>
    </row>
    <row r="17" ht="15" customHeight="1" s="60">
      <c r="A17" s="77" t="inlineStr">
        <is>
          <t>Annual cost = monthly × 12. Multiply column E by 12 for yearly hosting line item.</t>
        </is>
      </c>
    </row>
    <row r="19" ht="15" customHeight="1" s="60">
      <c r="A19" s="64" t="inlineStr">
        <is>
          <t>Migration thresholds</t>
        </is>
      </c>
    </row>
    <row r="20" ht="27.75" customHeight="1" s="60">
      <c r="A20" s="65" t="inlineStr">
        <is>
          <t>• ≤500K users: Render is a great fit. Focus on product, not infra.</t>
        </is>
      </c>
    </row>
    <row r="21" ht="27.75" customHeight="1" s="60">
      <c r="A21" s="65" t="inlineStr">
        <is>
          <t>• 500K-1M users: Talk to Render about Enterprise. Volume discount usually 20-40%. Bandwidth is the biggest line item — consider Cloudflare R2 + CDN to offload egress.</t>
        </is>
      </c>
    </row>
    <row r="22" ht="27.75" customHeight="1" s="60">
      <c r="A22" s="65" t="inlineStr">
        <is>
          <t>• 1M-10M users: Migrate to AWS/GCP/Cloudflare. Hire one DevOps engineer. Render bills become unpredictable here; cloud gives you per-second pricing + reserved instances.</t>
        </is>
      </c>
    </row>
    <row r="23" ht="27.75" customHeight="1" s="60">
      <c r="A23" s="65" t="inlineStr">
        <is>
          <t>• 10M+ users: Full SRE team, multi-region active-active, real-time data layer (Kafka/Kinesis), dedicated security/compliance. This is a fundamentally different company.</t>
        </is>
      </c>
    </row>
  </sheetData>
  <mergeCells count="5">
    <mergeCell ref="A23:F23"/>
    <mergeCell ref="A22:F22"/>
    <mergeCell ref="A17:F17"/>
    <mergeCell ref="A20:F20"/>
    <mergeCell ref="A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59" min="1" max="1"/>
    <col width="14" customWidth="1" style="59" min="2" max="6"/>
  </cols>
  <sheetData>
    <row r="1" ht="19.5" customHeight="1" s="60">
      <c r="A1" s="68" t="inlineStr">
        <is>
          <t>CivicView — 5-year P&amp;L (infrastructure-only)</t>
        </is>
      </c>
    </row>
    <row r="2" ht="15" customHeight="1" s="60">
      <c r="A2" s="69" t="inlineStr">
        <is>
          <t>Year-by-year revenue, costs, and net. All driven by the Assumptions sheet — change inputs there and this updates.</t>
        </is>
      </c>
    </row>
    <row r="4" ht="21.75" customHeight="1" s="60">
      <c r="B4" s="109" t="inlineStr">
        <is>
          <t>Y1</t>
        </is>
      </c>
      <c r="C4" s="109" t="inlineStr">
        <is>
          <t>Y2</t>
        </is>
      </c>
      <c r="D4" s="109" t="inlineStr">
        <is>
          <t>Y3</t>
        </is>
      </c>
      <c r="E4" s="109" t="inlineStr">
        <is>
          <t>Y4</t>
        </is>
      </c>
      <c r="F4" s="109" t="inlineStr">
        <is>
          <t>Y5</t>
        </is>
      </c>
    </row>
    <row r="6" ht="21.75" customHeight="1" s="60">
      <c r="A6" s="70" t="inlineStr">
        <is>
          <t>Users</t>
        </is>
      </c>
      <c r="B6" s="71" t="n"/>
      <c r="C6" s="71" t="n"/>
      <c r="D6" s="71" t="n"/>
      <c r="E6" s="71" t="n"/>
      <c r="F6" s="71" t="n"/>
    </row>
    <row r="7" ht="15" customHeight="1" s="60">
      <c r="A7" s="75" t="inlineStr">
        <is>
          <t>Total users (end of year)</t>
        </is>
      </c>
      <c r="B7" s="101">
        <f>'1. Assumptions'!B7</f>
        <v/>
      </c>
      <c r="C7" s="101">
        <f>'1. Assumptions'!C7</f>
        <v/>
      </c>
      <c r="D7" s="101">
        <f>'1. Assumptions'!D7</f>
        <v/>
      </c>
      <c r="E7" s="101">
        <f>'1. Assumptions'!E7</f>
        <v/>
      </c>
      <c r="F7" s="101">
        <f>'1. Assumptions'!F7</f>
        <v/>
      </c>
    </row>
    <row r="8" ht="15" customHeight="1" s="60">
      <c r="A8" s="75" t="inlineStr">
        <is>
          <t>New users added that year</t>
        </is>
      </c>
      <c r="B8" s="101">
        <f>'1. Assumptions'!B8</f>
        <v/>
      </c>
      <c r="C8" s="101">
        <f>'1. Assumptions'!C8</f>
        <v/>
      </c>
      <c r="D8" s="101">
        <f>'1. Assumptions'!D8</f>
        <v/>
      </c>
      <c r="E8" s="101">
        <f>'1. Assumptions'!E8</f>
        <v/>
      </c>
      <c r="F8" s="101">
        <f>'1. Assumptions'!F8</f>
        <v/>
      </c>
    </row>
    <row r="9" ht="15" customHeight="1" s="60">
      <c r="A9" s="75" t="inlineStr">
        <is>
          <t>Paying subscribers (at 3% conversion)</t>
        </is>
      </c>
      <c r="B9" s="105">
        <f>ROUND(B7*'1. Assumptions'!$B$11,0)</f>
        <v/>
      </c>
      <c r="C9" s="105">
        <f>ROUND(C7*'1. Assumptions'!$B$11,0)</f>
        <v/>
      </c>
      <c r="D9" s="105">
        <f>ROUND(D7*'1. Assumptions'!$B$11,0)</f>
        <v/>
      </c>
      <c r="E9" s="105">
        <f>ROUND(E7*'1. Assumptions'!$B$11,0)</f>
        <v/>
      </c>
      <c r="F9" s="105">
        <f>ROUND(F7*'1. Assumptions'!$B$11,0)</f>
        <v/>
      </c>
    </row>
    <row r="11" ht="21.75" customHeight="1" s="60">
      <c r="A11" s="70" t="inlineStr">
        <is>
          <t>Revenue</t>
        </is>
      </c>
      <c r="B11" s="71" t="n"/>
      <c r="C11" s="71" t="n"/>
      <c r="D11" s="71" t="n"/>
      <c r="E11" s="71" t="n"/>
      <c r="F11" s="71" t="n"/>
    </row>
    <row r="12" ht="15" customHeight="1" s="60">
      <c r="A12" s="75" t="inlineStr">
        <is>
          <t>Subscription revenue (subs × $60/yr)</t>
        </is>
      </c>
      <c r="B12" s="81">
        <f>B9*'1. Assumptions'!$B$13</f>
        <v/>
      </c>
      <c r="C12" s="81">
        <f>C9*'1. Assumptions'!$B$13</f>
        <v/>
      </c>
      <c r="D12" s="81">
        <f>D9*'1. Assumptions'!$B$13</f>
        <v/>
      </c>
      <c r="E12" s="81">
        <f>E9*'1. Assumptions'!$B$13</f>
        <v/>
      </c>
      <c r="F12" s="81">
        <f>F9*'1. Assumptions'!$B$13</f>
        <v/>
      </c>
    </row>
    <row r="13" ht="15" customHeight="1" s="60">
      <c r="A13" s="73" t="inlineStr">
        <is>
          <t>Total revenue</t>
        </is>
      </c>
      <c r="B13" s="110">
        <f>B12</f>
        <v/>
      </c>
      <c r="C13" s="110">
        <f>C12</f>
        <v/>
      </c>
      <c r="D13" s="110">
        <f>D12</f>
        <v/>
      </c>
      <c r="E13" s="110">
        <f>E12</f>
        <v/>
      </c>
      <c r="F13" s="110">
        <f>F12</f>
        <v/>
      </c>
    </row>
    <row r="15" ht="21.75" customHeight="1" s="60">
      <c r="A15" s="70" t="inlineStr">
        <is>
          <t>Costs</t>
        </is>
      </c>
      <c r="B15" s="71" t="n"/>
      <c r="C15" s="71" t="n"/>
      <c r="D15" s="71" t="n"/>
      <c r="E15" s="71" t="n"/>
      <c r="F15" s="71" t="n"/>
    </row>
    <row r="16" ht="15" customHeight="1" s="60">
      <c r="A16" s="75" t="inlineStr">
        <is>
          <t>ID.me verification (new users × $1.50)</t>
        </is>
      </c>
      <c r="B16" s="81">
        <f>B8*'1. Assumptions'!$B$16*'1. Assumptions'!$B$17</f>
        <v/>
      </c>
      <c r="C16" s="81">
        <f>C8*'1. Assumptions'!$B$16*'1. Assumptions'!$B$17</f>
        <v/>
      </c>
      <c r="D16" s="81">
        <f>D8*'1. Assumptions'!$B$16*'1. Assumptions'!$B$17</f>
        <v/>
      </c>
      <c r="E16" s="81">
        <f>E8*'1. Assumptions'!$B$16*'1. Assumptions'!$B$17</f>
        <v/>
      </c>
      <c r="F16" s="81">
        <f>F8*'1. Assumptions'!$B$16*'1. Assumptions'!$B$17</f>
        <v/>
      </c>
    </row>
    <row r="17" ht="15" customHeight="1" s="60">
      <c r="A17" s="75" t="inlineStr">
        <is>
          <t>Render hosting (annual)</t>
        </is>
      </c>
      <c r="B17" s="81">
        <f>IF(B7&lt;=1000,'1. Assumptions'!$B$22,IF(B7&lt;=10000,'1. Assumptions'!$B$23,IF(B7&lt;=50000,'1. Assumptions'!$B$24,IF(B7&lt;=200000,'1. Assumptions'!$B$25,IF(B7&lt;=500000,'1. Assumptions'!$B$26,IF(B7&lt;=1000000,'1. Assumptions'!$B$27,'1. Assumptions'!$B$28))))))*12</f>
        <v/>
      </c>
      <c r="C17" s="81">
        <f>IF(C7&lt;=1000,'1. Assumptions'!$B$22,IF(C7&lt;=10000,'1. Assumptions'!$B$23,IF(C7&lt;=50000,'1. Assumptions'!$B$24,IF(C7&lt;=200000,'1. Assumptions'!$B$25,IF(C7&lt;=500000,'1. Assumptions'!$B$26,IF(C7&lt;=1000000,'1. Assumptions'!$B$27,'1. Assumptions'!$B$28))))))*12</f>
        <v/>
      </c>
      <c r="D17" s="81">
        <f>IF(D7&lt;=1000,'1. Assumptions'!$B$22,IF(D7&lt;=10000,'1. Assumptions'!$B$23,IF(D7&lt;=50000,'1. Assumptions'!$B$24,IF(D7&lt;=200000,'1. Assumptions'!$B$25,IF(D7&lt;=500000,'1. Assumptions'!$B$26,IF(D7&lt;=1000000,'1. Assumptions'!$B$27,'1. Assumptions'!$B$28))))))*12</f>
        <v/>
      </c>
      <c r="E17" s="81">
        <f>IF(E7&lt;=1000,'1. Assumptions'!$B$22,IF(E7&lt;=10000,'1. Assumptions'!$B$23,IF(E7&lt;=50000,'1. Assumptions'!$B$24,IF(E7&lt;=200000,'1. Assumptions'!$B$25,IF(E7&lt;=500000,'1. Assumptions'!$B$26,IF(E7&lt;=1000000,'1. Assumptions'!$B$27,'1. Assumptions'!$B$28))))))*12</f>
        <v/>
      </c>
      <c r="F17" s="81">
        <f>IF(F7&lt;=1000,'1. Assumptions'!$B$22,IF(F7&lt;=10000,'1. Assumptions'!$B$23,IF(F7&lt;=50000,'1. Assumptions'!$B$24,IF(F7&lt;=200000,'1. Assumptions'!$B$25,IF(F7&lt;=500000,'1. Assumptions'!$B$26,IF(F7&lt;=1000000,'1. Assumptions'!$B$27,'1. Assumptions'!$B$28))))))*12</f>
        <v/>
      </c>
    </row>
    <row r="18" ht="15" customHeight="1" s="60">
      <c r="A18" s="75" t="inlineStr">
        <is>
          <t>Other recurring infra (annual)</t>
        </is>
      </c>
      <c r="B18" s="104">
        <f>'1. Assumptions'!$B$37</f>
        <v/>
      </c>
      <c r="C18" s="104">
        <f>'1. Assumptions'!$B$37</f>
        <v/>
      </c>
      <c r="D18" s="104">
        <f>'1. Assumptions'!$B$37</f>
        <v/>
      </c>
      <c r="E18" s="104">
        <f>'1. Assumptions'!$B$37</f>
        <v/>
      </c>
      <c r="F18" s="104">
        <f>'1. Assumptions'!$B$37</f>
        <v/>
      </c>
    </row>
    <row r="19" ht="15" customHeight="1" s="60">
      <c r="A19" s="75" t="inlineStr">
        <is>
          <t>Payment processing (app store + Stripe)</t>
        </is>
      </c>
      <c r="B19" s="111">
        <f>B13*'1. Assumptions'!$B$46</f>
        <v/>
      </c>
      <c r="C19" s="111">
        <f>C13*'1. Assumptions'!$B$46</f>
        <v/>
      </c>
      <c r="D19" s="111">
        <f>D13*'1. Assumptions'!$B$46</f>
        <v/>
      </c>
      <c r="E19" s="111">
        <f>E13*'1. Assumptions'!$B$46</f>
        <v/>
      </c>
      <c r="F19" s="111">
        <f>F13*'1. Assumptions'!$B$46</f>
        <v/>
      </c>
    </row>
    <row r="20" ht="15" customHeight="1" s="60">
      <c r="A20" s="75" t="inlineStr">
        <is>
          <t>External penetration test</t>
        </is>
      </c>
      <c r="B20" s="111">
        <f>'1. Assumptions'!B50</f>
        <v/>
      </c>
      <c r="C20" s="111">
        <f>'1. Assumptions'!C50</f>
        <v/>
      </c>
      <c r="D20" s="111">
        <f>'1. Assumptions'!D50</f>
        <v/>
      </c>
      <c r="E20" s="111">
        <f>'1. Assumptions'!E50</f>
        <v/>
      </c>
      <c r="F20" s="111">
        <f>'1. Assumptions'!F50</f>
        <v/>
      </c>
    </row>
    <row r="21" ht="21.75" customHeight="1" s="60">
      <c r="A21" s="73" t="inlineStr">
        <is>
          <t>Total costs</t>
        </is>
      </c>
      <c r="B21" s="110">
        <f>SUM(B16:B20)</f>
        <v/>
      </c>
      <c r="C21" s="110">
        <f>SUM(C16:C20)</f>
        <v/>
      </c>
      <c r="D21" s="110">
        <f>SUM(D16:D20)</f>
        <v/>
      </c>
      <c r="E21" s="110">
        <f>SUM(E16:E20)</f>
        <v/>
      </c>
      <c r="F21" s="110">
        <f>SUM(F16:F20)</f>
        <v/>
      </c>
    </row>
    <row r="22" ht="15" customHeight="1" s="60"/>
    <row r="23" ht="15" customHeight="1" s="60">
      <c r="A23" s="70" t="inlineStr">
        <is>
          <t>Net income</t>
        </is>
      </c>
      <c r="B23" s="71" t="n"/>
      <c r="C23" s="71" t="n"/>
      <c r="D23" s="71" t="n"/>
      <c r="E23" s="71" t="n"/>
      <c r="F23" s="71" t="n"/>
    </row>
    <row r="24" ht="15" customHeight="1" s="60">
      <c r="A24" s="73" t="inlineStr">
        <is>
          <t>Net income (year)</t>
        </is>
      </c>
      <c r="B24" s="112">
        <f>B13-B21</f>
        <v/>
      </c>
      <c r="C24" s="112">
        <f>C13-C21</f>
        <v/>
      </c>
      <c r="D24" s="112">
        <f>D13-D21</f>
        <v/>
      </c>
      <c r="E24" s="112">
        <f>E13-E21</f>
        <v/>
      </c>
      <c r="F24" s="112">
        <f>F13-F21</f>
        <v/>
      </c>
    </row>
    <row r="25" ht="15" customHeight="1" s="60">
      <c r="A25" s="73" t="inlineStr">
        <is>
          <t>Cumulative net income</t>
        </is>
      </c>
      <c r="B25" s="113">
        <f>B24</f>
        <v/>
      </c>
      <c r="C25" s="113">
        <f>B25+C24</f>
        <v/>
      </c>
      <c r="D25" s="113">
        <f>C25+D24</f>
        <v/>
      </c>
      <c r="E25" s="113">
        <f>D25+E24</f>
        <v/>
      </c>
      <c r="F25" s="113">
        <f>E25+F24</f>
        <v/>
      </c>
    </row>
    <row r="26" ht="15" customHeight="1" s="60">
      <c r="A26" s="75" t="inlineStr">
        <is>
          <t>Margin (net / revenue)</t>
        </is>
      </c>
      <c r="B26" s="114">
        <f>IFERROR(B24/B13,0)</f>
        <v/>
      </c>
      <c r="C26" s="114">
        <f>IFERROR(C24/C13,0)</f>
        <v/>
      </c>
      <c r="D26" s="114">
        <f>IFERROR(D24/D13,0)</f>
        <v/>
      </c>
      <c r="E26" s="114">
        <f>IFERROR(E24/E13,0)</f>
        <v/>
      </c>
      <c r="F26" s="114">
        <f>IFERROR(F24/F13,0)</f>
        <v/>
      </c>
    </row>
    <row r="27" ht="30" customHeight="1" s="60">
      <c r="A27" s="59" t="n"/>
    </row>
    <row r="28" ht="30" customHeight="1" s="60">
      <c r="A28" s="64" t="inlineStr">
        <is>
          <t>Reading this sheet</t>
        </is>
      </c>
    </row>
    <row r="29" ht="30" customHeight="1" s="60">
      <c r="A29" s="65" t="inlineStr">
        <is>
          <t>• Y1-Y2 show losses: ID.me verification + initial Render costs + Y2 pen-test ($5K) exceed early subscription revenue at 1K-10K users.</t>
        </is>
      </c>
    </row>
    <row r="30" ht="30" customHeight="1" s="60">
      <c r="A30" s="65" t="inlineStr">
        <is>
          <t>• Y3 is the new break-even year (~$4K positive) under your moderate ramp + 3% conversion. Y4-Y5 deliver the bulk of the cumulative net.</t>
        </is>
      </c>
    </row>
    <row r="31" ht="30" customHeight="1" s="60">
      <c r="A31" s="65" t="inlineStr">
        <is>
          <t>• Cumulative net by Y5: ~$375K — your reinvestment runway. (Down from ~$565K pre-Phase-4 once payment fees + pen-test were added.)</t>
        </is>
      </c>
    </row>
    <row r="32" ht="45.75" customHeight="1" s="60">
      <c r="A32" s="65" t="inlineStr">
        <is>
          <t>• Sensitivity to watch: dropping conversion to 1% would deepen losses through Y3 and push Y5 net into the red on slow/moderate ramps. Raising to 5% pushes Y5 net to ~$850K.</t>
        </is>
      </c>
    </row>
    <row r="33" ht="45.75" customHeight="1" s="60">
      <c r="A33" s="65" t="inlineStr">
        <is>
          <t>• ID.me remains the dominant cost (~75% of Y4-Y5 total). Volume pricing (typical at 100K+ verifications/yr) directly improves margin.</t>
        </is>
      </c>
    </row>
    <row r="34" ht="15" customHeight="1" s="60">
      <c r="A34" s="106" t="inlineStr">
        <is>
          <t>• Payment processing (app store + Stripe) now broken out — applies the Assumptions blended rate (~10% at default 30/20/50 mix) to gross revenue.</t>
        </is>
      </c>
    </row>
    <row r="35" ht="15" customHeight="1" s="60">
      <c r="A35" s="106" t="inlineStr">
        <is>
          <t>• External pen-test costs ramp from $5K (Y1) to $20K (Y5) following the cybersecurity attack-surface schedule in Assumptions row 50.</t>
        </is>
      </c>
    </row>
  </sheetData>
  <mergeCells count="5">
    <mergeCell ref="A28:F28"/>
    <mergeCell ref="A27:F27"/>
    <mergeCell ref="A31:F31"/>
    <mergeCell ref="A30:F30"/>
    <mergeCell ref="A29:F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9" min="1" max="1"/>
    <col width="16" customWidth="1" style="59" min="2" max="5"/>
  </cols>
  <sheetData>
    <row r="1" ht="19.5" customHeight="1" s="60">
      <c r="A1" s="68" t="inlineStr">
        <is>
          <t>Sensitivity — Year-5 net income at different conversion + growth</t>
        </is>
      </c>
    </row>
    <row r="2" ht="15" customHeight="1" s="60">
      <c r="A2" s="69" t="inlineStr">
        <is>
          <t>Hardcoded scenarios (independent of Assumptions sheet) so you can compare side-by-side without editing.</t>
        </is>
      </c>
    </row>
    <row r="4" ht="21.75" customHeight="1" s="60">
      <c r="A4" s="70" t="inlineStr">
        <is>
          <t>Y5 net income — sensitivity to conversion × growth</t>
        </is>
      </c>
      <c r="B4" s="71" t="n"/>
      <c r="C4" s="71" t="n"/>
      <c r="D4" s="71" t="n"/>
      <c r="E4" s="71" t="n"/>
    </row>
    <row r="6" ht="21.75" customHeight="1" s="60">
      <c r="A6" s="84" t="inlineStr">
        <is>
          <t>Growth scenario \ Conversion</t>
        </is>
      </c>
      <c r="B6" s="115" t="inlineStr">
        <is>
          <t>1%</t>
        </is>
      </c>
      <c r="C6" s="115" t="inlineStr">
        <is>
          <t>3%</t>
        </is>
      </c>
      <c r="D6" s="115" t="inlineStr">
        <is>
          <t>5%</t>
        </is>
      </c>
      <c r="E6" s="115" t="inlineStr">
        <is>
          <t>10%</t>
        </is>
      </c>
    </row>
    <row r="7" ht="15" customHeight="1" s="60">
      <c r="A7" s="100" t="inlineStr">
        <is>
          <t>Slow ramp (250K Y5)</t>
        </is>
      </c>
      <c r="B7" s="81">
        <f>(250000*0.01*'1. Assumptions'!$B$13)*(1-'1. Assumptions'!$B$46)-(150000*'1. Assumptions'!$B$16*'1. Assumptions'!$B$17+12000+'1. Assumptions'!$B$37+'1. Assumptions'!$F$50)</f>
        <v/>
      </c>
      <c r="C7" s="81">
        <f>(250000*0.03*'1. Assumptions'!$B$13)*(1-'1. Assumptions'!$B$46)-(150000*'1. Assumptions'!$B$16*'1. Assumptions'!$B$17+12000+'1. Assumptions'!$B$37+'1. Assumptions'!$F$50)</f>
        <v/>
      </c>
      <c r="D7" s="81">
        <f>(250000*0.05*'1. Assumptions'!$B$13)*(1-'1. Assumptions'!$B$46)-(150000*'1. Assumptions'!$B$16*'1. Assumptions'!$B$17+12000+'1. Assumptions'!$B$37+'1. Assumptions'!$F$50)</f>
        <v/>
      </c>
      <c r="E7" s="81">
        <f>(250000*0.1*'1. Assumptions'!$B$13)*(1-'1. Assumptions'!$B$46)-(150000*'1. Assumptions'!$B$16*'1. Assumptions'!$B$17+12000+'1. Assumptions'!$B$37+'1. Assumptions'!$F$50)</f>
        <v/>
      </c>
    </row>
    <row r="8" ht="15" customHeight="1" s="60">
      <c r="A8" s="100" t="inlineStr">
        <is>
          <t>Moderate ramp (500K Y5)</t>
        </is>
      </c>
      <c r="B8" s="81">
        <f>(500000*0.01*'1. Assumptions'!$B$13)*(1-'1. Assumptions'!$B$46)-(300000*'1. Assumptions'!$B$16*'1. Assumptions'!$B$17+30000+'1. Assumptions'!$B$37+'1. Assumptions'!$F$50)</f>
        <v/>
      </c>
      <c r="C8" s="116">
        <f>(500000*0.03*'1. Assumptions'!$B$13)*(1-'1. Assumptions'!$B$46)-(300000*'1. Assumptions'!$B$16*'1. Assumptions'!$B$17+30000+'1. Assumptions'!$B$37+'1. Assumptions'!$F$50)</f>
        <v/>
      </c>
      <c r="D8" s="81">
        <f>(500000*0.05*'1. Assumptions'!$B$13)*(1-'1. Assumptions'!$B$46)-(300000*'1. Assumptions'!$B$16*'1. Assumptions'!$B$17+30000+'1. Assumptions'!$B$37+'1. Assumptions'!$F$50)</f>
        <v/>
      </c>
      <c r="E8" s="81">
        <f>(500000*0.1*'1. Assumptions'!$B$13)*(1-'1. Assumptions'!$B$46)-(300000*'1. Assumptions'!$B$16*'1. Assumptions'!$B$17+30000+'1. Assumptions'!$B$37+'1. Assumptions'!$F$50)</f>
        <v/>
      </c>
    </row>
    <row r="9" ht="15" customHeight="1" s="60">
      <c r="A9" s="100" t="inlineStr">
        <is>
          <t>Aggressive ramp (1M Y5)</t>
        </is>
      </c>
      <c r="B9" s="81">
        <f>(1000000*0.01*'1. Assumptions'!$B$13)*(1-'1. Assumptions'!$B$46)-(500000*'1. Assumptions'!$B$16*'1. Assumptions'!$B$17+60000+'1. Assumptions'!$B$37+'1. Assumptions'!$F$50)</f>
        <v/>
      </c>
      <c r="C9" s="81">
        <f>(1000000*0.03*'1. Assumptions'!$B$13)*(1-'1. Assumptions'!$B$46)-(500000*'1. Assumptions'!$B$16*'1. Assumptions'!$B$17+60000+'1. Assumptions'!$B$37+'1. Assumptions'!$F$50)</f>
        <v/>
      </c>
      <c r="D9" s="81">
        <f>(1000000*0.05*'1. Assumptions'!$B$13)*(1-'1. Assumptions'!$B$46)-(500000*'1. Assumptions'!$B$16*'1. Assumptions'!$B$17+60000+'1. Assumptions'!$B$37+'1. Assumptions'!$F$50)</f>
        <v/>
      </c>
      <c r="E9" s="81">
        <f>(1000000*0.1*'1. Assumptions'!$B$13)*(1-'1. Assumptions'!$B$46)-(500000*'1. Assumptions'!$B$16*'1. Assumptions'!$B$17+60000+'1. Assumptions'!$B$37+'1. Assumptions'!$F$50)</f>
        <v/>
      </c>
    </row>
    <row r="11" ht="15" customHeight="1" s="60">
      <c r="A11" s="64" t="inlineStr">
        <is>
          <t>Reading this grid</t>
        </is>
      </c>
    </row>
    <row r="12" ht="27.75" customHeight="1" s="60">
      <c r="A12" s="65" t="inlineStr">
        <is>
          <t>• Your selected scenario is highlighted in yellow (Moderate ramp + 3% conversion).</t>
        </is>
      </c>
    </row>
    <row r="13" ht="27.75" customHeight="1" s="60">
      <c r="A13" s="65" t="inlineStr">
        <is>
          <t>• Each cell shows Year-5 net income (revenue minus all costs that year, not cumulative).</t>
        </is>
      </c>
    </row>
    <row r="14" ht="27.75" customHeight="1" s="60">
      <c r="A14" s="65" t="inlineStr">
        <is>
          <t>• The diagonals matter: doubling conversion has a bigger impact than doubling growth, because growth also doubles the ID.me verification bill.</t>
        </is>
      </c>
    </row>
    <row r="15" ht="27.75" customHeight="1" s="60">
      <c r="A15" s="65" t="inlineStr">
        <is>
          <t>• The 'Aggressive ramp + 1%' cell can be negative — that's the danger zone: scaling fast on free users without conversion is the worst combination.</t>
        </is>
      </c>
    </row>
    <row r="16" ht="15" customHeight="1" s="60">
      <c r="A16" s="106" t="inlineStr">
        <is>
          <t>• Updated to include payment-processing fees (gross revenue × blended rate) and Y5 pen-test cost — see Assumptions rows 46 + 50. Numbers are slightly lower than the previous version because of the ~10% fee drag.</t>
        </is>
      </c>
    </row>
  </sheetData>
  <mergeCells count="4">
    <mergeCell ref="A15:E15"/>
    <mergeCell ref="A12:E12"/>
    <mergeCell ref="A13:E13"/>
    <mergeCell ref="A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2026-05-18T14:53:51Z</dcterms:created>
  <dcterms:modified xmlns:dcterms="http://purl.org/dc/terms/" xmlns:xsi="http://www.w3.org/2001/XMLSchema-instance" xsi:type="dcterms:W3CDTF">2026-06-03T20:58:02Z</dcterms:modified>
  <cp:revision>0</cp:revision>
</cp:coreProperties>
</file>