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1. Assumptions" sheetId="2" state="visible" r:id="rId4"/>
    <sheet name="2. ID.me costs by tier" sheetId="3" state="visible" r:id="rId5"/>
    <sheet name="3. Break-even" sheetId="4" state="visible" r:id="rId6"/>
    <sheet name="4. Render hosting tiers" sheetId="5" state="visible" r:id="rId7"/>
    <sheet name="5. 5-Year P&amp;L" sheetId="6" state="visible" r:id="rId8"/>
    <sheet name="6. Sensitivity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<sst xmlns="http://schemas.openxmlformats.org/spreadsheetml/2006/main" count="275" uniqueCount="245">
  <si>
    <t xml:space="preserve">CivicView Financial Model</t>
  </si>
  <si>
    <t xml:space="preserve">Infrastructure-only · 5-year plan · Moderate growth ramp · 3% conversion</t>
  </si>
  <si>
    <t xml:space="preserve">Sheets in this workbook</t>
  </si>
  <si>
    <t xml:space="preserve">1. Assumptions</t>
  </si>
  <si>
    <t xml:space="preserve">All driver inputs. Blue cells are the ones you edit; everything else auto-recalculates.</t>
  </si>
  <si>
    <t xml:space="preserve">2. ID.me costs by tier</t>
  </si>
  <si>
    <t xml:space="preserve">Point-in-time scenarios: what would verification cost if you hit 1K / 10K / 100K / 500K / 1M users.</t>
  </si>
  <si>
    <t xml:space="preserve">3. Break-even</t>
  </si>
  <si>
    <t xml:space="preserve">Subscribers needed to cover monthly recurring costs at each user-count tier. Excludes one-time ID.me CAC.</t>
  </si>
  <si>
    <t xml:space="preserve">4. Render hosting tiers</t>
  </si>
  <si>
    <t xml:space="preserve">Recommended Render config at each scale (1K → 100M users) with migration thresholds.</t>
  </si>
  <si>
    <t xml:space="preserve">5. 5-Year P&amp;L</t>
  </si>
  <si>
    <t xml:space="preserve">Year-by-year revenue, costs, net income, and margin — driven by the Assumptions sheet.</t>
  </si>
  <si>
    <t xml:space="preserve">6. Sensitivity</t>
  </si>
  <si>
    <t xml:space="preserve">Y5 net income across 3 growth ramps × 4 conversion rates. Your selected scenario highlighted.</t>
  </si>
  <si>
    <t xml:space="preserve">How to use this model</t>
  </si>
  <si>
    <t xml:space="preserve">1. Open the Assumptions sheet. Every blue cell is a knob — edit any of them and the rest of the workbook follows.</t>
  </si>
  <si>
    <t xml:space="preserve">2. The model assumes infrastructure costs ONLY (Render + ID.me + APIs + domain). No salaries, no marketing.</t>
  </si>
  <si>
    <t xml:space="preserve">3. Conversion rate (3%) and growth ramp (1K → 500K) match your selections. To stress-test, edit B11 (conversion) or B7:F7 (user counts).</t>
  </si>
  <si>
    <t xml:space="preserve">4. The Sensitivity sheet is hardcoded so you can compare scenarios without disturbing the live model.</t>
  </si>
  <si>
    <t xml:space="preserve">5. Color code: blue text = inputs you change. Black = formulas. Green = cross-sheet links. Yellow highlight = your scenario.</t>
  </si>
  <si>
    <t xml:space="preserve">Key caveats</t>
  </si>
  <si>
    <t xml:space="preserve">• Render pricing reflects mid-2025 published rates. Verify at render.com/pricing before committing — they revise quarterly.</t>
  </si>
  <si>
    <t xml:space="preserve">• ID.me $1.50 is the public retail rate. Volume contracts (&gt;100K verifications/yr) typically negotiate to $0.80-$1.20.</t>
  </si>
  <si>
    <t xml:space="preserve">• User growth is a guess. The 'moderate ramp' is reasonable for civic apps but real growth is bursty (election years spike).</t>
  </si>
  <si>
    <t xml:space="preserve">• 3% conversion assumes a free-to-paid funnel where the paid tier offers clear value beyond the free experience.</t>
  </si>
  <si>
    <t xml:space="preserve">• Beyond 1M users, Render alone won't be the right fit — plan to migrate or negotiate Enterprise terms.</t>
  </si>
  <si>
    <t xml:space="preserve">CivicView Financial Model — Assumptions</t>
  </si>
  <si>
    <t xml:space="preserve">All blue cells are inputs. Change any of them and every other sheet recalculates.</t>
  </si>
  <si>
    <t xml:space="preserve">User growth — moderate ramp (your selection)</t>
  </si>
  <si>
    <t xml:space="preserve">Y1</t>
  </si>
  <si>
    <t xml:space="preserve">Y2</t>
  </si>
  <si>
    <t xml:space="preserve">Y3</t>
  </si>
  <si>
    <t xml:space="preserve">Y4</t>
  </si>
  <si>
    <t xml:space="preserve">Y5</t>
  </si>
  <si>
    <t xml:space="preserve">Total users (end of year)</t>
  </si>
  <si>
    <t xml:space="preserve">↑ Edit these blue cells to reshape the growth curve.</t>
  </si>
  <si>
    <t xml:space="preserve">New users added that year</t>
  </si>
  <si>
    <t xml:space="preserve">Subscription economics</t>
  </si>
  <si>
    <t xml:space="preserve">Conversion rate (% of users who pay)</t>
  </si>
  <si>
    <t xml:space="preserve">Industry typical for civic / public-interest apps: 1-5%. You chose 3%.</t>
  </si>
  <si>
    <t xml:space="preserve">Subscription price per month</t>
  </si>
  <si>
    <t xml:space="preserve">Per the original spec — adjust here, every sheet follows.</t>
  </si>
  <si>
    <t xml:space="preserve">Annual price per subscriber</t>
  </si>
  <si>
    <t xml:space="preserve">Auto-derived. Don't edit.</t>
  </si>
  <si>
    <t xml:space="preserve">ID.me verification costs</t>
  </si>
  <si>
    <t xml:space="preserve">Cost per verification (one-time)</t>
  </si>
  <si>
    <t xml:space="preserve">Per ID.me public pricing — verify their current rate at idme.com.</t>
  </si>
  <si>
    <t xml:space="preserve">% of total users who get verified</t>
  </si>
  <si>
    <t xml:space="preserve">100% = required at signup. If verification is only for voting features, drop to 30-50%.</t>
  </si>
  <si>
    <t xml:space="preserve">Annual re-verification rate</t>
  </si>
  <si>
    <t xml:space="preserve">ID.me verifications typically last 3+ years. Set non-zero if you'll re-verify annually.</t>
  </si>
  <si>
    <t xml:space="preserve">Render hosting — monthly cost at each user-count tier</t>
  </si>
  <si>
    <t xml:space="preserve">Tier (max users)</t>
  </si>
  <si>
    <t xml:space="preserve">Monthly cost</t>
  </si>
  <si>
    <t xml:space="preserve">Recommended Render configuration</t>
  </si>
  <si>
    <t xml:space="preserve">≤ 1,000 users</t>
  </si>
  <si>
    <t xml:space="preserve">Standard web ($25) + Basic 1GB Postgres ($19) + bandwidth free tier</t>
  </si>
  <si>
    <t xml:space="preserve">≤ 10,000 users</t>
  </si>
  <si>
    <t xml:space="preserve">Pro web ($85) + Basic 4GB Postgres ($95) + ~50GB bandwidth</t>
  </si>
  <si>
    <t xml:space="preserve">≤ 50,000 users</t>
  </si>
  <si>
    <t xml:space="preserve">2× Pro web ($170) + Pro 4GB Postgres ($185) + Redis ($30) + 200GB bandwidth</t>
  </si>
  <si>
    <t xml:space="preserve">≤ 200,000 users</t>
  </si>
  <si>
    <t xml:space="preserve">2× Pro Plus ($350) + Pro 4GB Postgres ($185) + Redis ($85) + 500GB ($50) + buffer</t>
  </si>
  <si>
    <t xml:space="preserve">≤ 500,000 users</t>
  </si>
  <si>
    <t xml:space="preserve">4× Pro Max ($1,800) + Pro 8GB Postgres ($345) + 2TB bandwidth ($200) + CDN</t>
  </si>
  <si>
    <t xml:space="preserve">≤ 1,000,000 users</t>
  </si>
  <si>
    <t xml:space="preserve">Render Enterprise contract OR start AWS/GCP migration. 4× Pro Max + 16GB Postgres + 5TB bandwidth</t>
  </si>
  <si>
    <t xml:space="preserve">≤ 10,000,000 users</t>
  </si>
  <si>
    <t xml:space="preserve">Migrate off Render: AWS/GCP multi-region, CDN, dedicated DB clusters</t>
  </si>
  <si>
    <t xml:space="preserve">≤ 100,000,000 users</t>
  </si>
  <si>
    <t xml:space="preserve">Major infrastructure investment — custom cloud build, multi-region active-active, dedicated SRE team</t>
  </si>
  <si>
    <t xml:space="preserve">Other recurring infrastructure costs (annual)</t>
  </si>
  <si>
    <t xml:space="preserve">Domain + DNS</t>
  </si>
  <si>
    <t xml:space="preserve">civicview.app + Cloudflare/Namecheap</t>
  </si>
  <si>
    <t xml:space="preserve">Anthropic API (Haiku for AI features)</t>
  </si>
  <si>
    <t xml:space="preserve">Bill summaries, vote explainers — scales with users; assume modest at small scale</t>
  </si>
  <si>
    <t xml:space="preserve">Email + transactional (Mailgun/Postmark)</t>
  </si>
  <si>
    <t xml:space="preserve">Notifications, ack emails — free tier up to a few thousand sends</t>
  </si>
  <si>
    <t xml:space="preserve">Monitoring (Sentry/Datadog)</t>
  </si>
  <si>
    <t xml:space="preserve">Error tracking + uptime — free tiers cover early stage</t>
  </si>
  <si>
    <t xml:space="preserve">Misc (legal, accounting templates, etc.)</t>
  </si>
  <si>
    <t xml:space="preserve">Legal templates, accounting subscriptions, etc. Payment processing fees are broken out in the Payment processing section below.</t>
  </si>
  <si>
    <t xml:space="preserve">Total other recurring (annual)</t>
  </si>
  <si>
    <t xml:space="preserve">Payment processing — app store + web subscription fees</t>
  </si>
  <si>
    <t xml:space="preserve">iOS App Store revenue share</t>
  </si>
  <si>
    <t xml:space="preserve">Share of paying subscribers who subscribe via iOS in-app purchase. Default 30% based on civic-app user mix.</t>
  </si>
  <si>
    <t xml:space="preserve">Google Play revenue share</t>
  </si>
  <si>
    <t xml:space="preserve">Android in-app purchase share. Default 20% — US civic apps skew slightly iOS.</t>
  </si>
  <si>
    <t xml:space="preserve">Web (Stripe) revenue share</t>
  </si>
  <si>
    <t xml:space="preserve">Auto = 1 - iOS - Android. If this goes negative, your iOS + Android shares sum &gt; 100%.</t>
  </si>
  <si>
    <t xml:space="preserve">iOS App Store fee rate</t>
  </si>
  <si>
    <t xml:space="preserve">Apple Small Business Program: 15% if App Store revenue &lt;$1M/yr. Flip to 30% once you cross that threshold.</t>
  </si>
  <si>
    <t xml:space="preserve">Google Play fee rate</t>
  </si>
  <si>
    <t xml:space="preserve">Google Play also 15% on first $1M/yr per developer; jumps to 30% beyond.</t>
  </si>
  <si>
    <t xml:space="preserve">Stripe / web processing rate (effective)</t>
  </si>
  <si>
    <t xml:space="preserve">Stripe 2.9% + $0.30 per transaction. On $5/mo billing the fixed fee dominates (~9% effective); annual billing drops to ~3.5%. 5% is a moderate blend.</t>
  </si>
  <si>
    <t xml:space="preserve">Blended payment-processing rate</t>
  </si>
  <si>
    <t xml:space="preserve">Auto: weighted average across iOS / Android / Web. The P&amp;L applies this to total subscription revenue.</t>
  </si>
  <si>
    <t xml:space="preserve">Cybersecurity (external penetration testing)</t>
  </si>
  <si>
    <t xml:space="preserve">External penetration test (annual)</t>
  </si>
  <si>
    <t xml:space="preserve">Y1 skipped — at 1K users, automated scanning (CodeQL + Dependabot) is sufficient. Y2 ($5K) first external review when revenue + user data justify the spend. Y3-Y5 ramp follows attack-surface growth. Bi-annual cadence past Y5 worth considering.</t>
  </si>
  <si>
    <t xml:space="preserve">Notes</t>
  </si>
  <si>
    <t xml:space="preserve">• Render pricing reflects published tiers as of mid-2025. Verify at render.com/pricing before committing — they update quarterly.</t>
  </si>
  <si>
    <t xml:space="preserve">• ID.me $1.50 per verification is the public rate; volume contracts (&gt;100K verifications/yr) typically negotiate down to $0.80-$1.20.</t>
  </si>
  <si>
    <t xml:space="preserve">• This model is INFRASTRUCTURE COSTS ONLY per your selection. Adding salaries / marketing / legal would shift break-even by 2-3 years.</t>
  </si>
  <si>
    <t xml:space="preserve">• Cost-per-paying-subscriber at Y5 = ~$32 (mostly ID.me amortized + Render). LTV at $60/yr × 2yr average tenure = $120. Positive margin.</t>
  </si>
  <si>
    <t xml:space="preserve">• Payment processing assumes a 30/20/50 iOS/Android/Web split. Adjust B40:B41 if your acquisition channel mix differs.</t>
  </si>
  <si>
    <t xml:space="preserve">• App store fees stay at 15% under the Small Business Program ($1M/yr per store). Flip B43/B44 to 30% if you cross the threshold (~Y5 aggressive ramp).</t>
  </si>
  <si>
    <t xml:space="preserve">• Penetration testing scales with attack surface. Y1 ($5K) reflects a small footprint; Y5 ($20K) anticipates 500K users + 3 identity types + admin moderation surface.</t>
  </si>
  <si>
    <t xml:space="preserve">ID.me verification costs — what would it cost if we hit X users?</t>
  </si>
  <si>
    <t xml:space="preserve">One-time verification cost per user, applied across all verified users at each scale tier.</t>
  </si>
  <si>
    <t xml:space="preserve">Scenario: total verification cost at each tier</t>
  </si>
  <si>
    <t xml:space="preserve">User tier</t>
  </si>
  <si>
    <t xml:space="preserve">Verified users</t>
  </si>
  <si>
    <t xml:space="preserve">Cost / verification</t>
  </si>
  <si>
    <t xml:space="preserve">Total verification cost</t>
  </si>
  <si>
    <t xml:space="preserve">Amortized monthly (over 12mo)</t>
  </si>
  <si>
    <t xml:space="preserve">Months to recoup at 3% conversion</t>
  </si>
  <si>
    <t xml:space="preserve">1,000 users</t>
  </si>
  <si>
    <t xml:space="preserve">Small starter — manageable burn.</t>
  </si>
  <si>
    <t xml:space="preserve">10,000 users</t>
  </si>
  <si>
    <t xml:space="preserve">10K is the inflection point where you need real customer support.</t>
  </si>
  <si>
    <t xml:space="preserve">100,000 users</t>
  </si>
  <si>
    <t xml:space="preserve">At 100K you can negotiate ID.me volume pricing — expect $1.00-$1.20.</t>
  </si>
  <si>
    <t xml:space="preserve">500,000 users</t>
  </si>
  <si>
    <t xml:space="preserve">At 500K verification cost = $750K. Major fundraise needed if upfront.</t>
  </si>
  <si>
    <t xml:space="preserve">1,000,000 users</t>
  </si>
  <si>
    <t xml:space="preserve">At 1M users this is a $1.5M line item — verify is a strategic decision.</t>
  </si>
  <si>
    <t xml:space="preserve">Key insight</t>
  </si>
  <si>
    <t xml:space="preserve">• Verification cost is NOT a per-month cost — it's a one-time hit at the moment of user signup. Your model should treat it as customer-acquisition cost (CAC).</t>
  </si>
  <si>
    <t xml:space="preserve">• At 3% conversion + $5/mo, each paying subscriber generates $60/yr. The $1.50 verification cost is recouped within the first month of any single subscriber.</t>
  </si>
  <si>
    <t xml:space="preserve">• But: you're paying $1.50 for 100% of users while only 3% pay. Effective CAC per paying subscriber = $1.50 / 0.03 = $50 just for verification. Still healthy vs. $60/yr LTV per paying user.</t>
  </si>
  <si>
    <t xml:space="preserve">• If verification is only required for voting features (not signup), and only 30% of users verify, your effective CAC drops to $50 × 30% = $15 per paid sub. Worth considering as a product decision.</t>
  </si>
  <si>
    <t xml:space="preserve">Break-even — how many paying subscribers to cover monthly costs?</t>
  </si>
  <si>
    <t xml:space="preserve">Excludes one-time ID.me costs (those are CAC, not recurring). Recurring = Render hosting + other infra.</t>
  </si>
  <si>
    <t xml:space="preserve">Monthly break-even at each user-count tier</t>
  </si>
  <si>
    <t xml:space="preserve">Render monthly</t>
  </si>
  <si>
    <t xml:space="preserve">Other infra /mo</t>
  </si>
  <si>
    <t xml:space="preserve">Total monthly cost</t>
  </si>
  <si>
    <t xml:space="preserve">Break-even subs needed</t>
  </si>
  <si>
    <t xml:space="preserve">Subs at 3% conversion</t>
  </si>
  <si>
    <t xml:space="preserve">Surplus / (deficit) subs</t>
  </si>
  <si>
    <t xml:space="preserve">Monthly net at 3%</t>
  </si>
  <si>
    <t xml:space="preserve">50,000 users</t>
  </si>
  <si>
    <t xml:space="preserve">200,000 users</t>
  </si>
  <si>
    <t xml:space="preserve">What this tells you</t>
  </si>
  <si>
    <t xml:space="preserve">• At 1K users, you need 27 paying subscribers. At 3% conversion you get 30 — wafer-thin margin but technically profitable on recurring costs.</t>
  </si>
  <si>
    <t xml:space="preserve">• At 10K users (Y2 in your ramp), you're comfortable: 300 subs at 3% vs ~50 needed to cover Render. Most of the margin starts flowing here.</t>
  </si>
  <si>
    <t xml:space="preserve">• At 50K-100K users the Render cost barely grows (same tier) so margin expands rapidly. This is where the business gets healthy.</t>
  </si>
  <si>
    <t xml:space="preserve">• Beyond 500K, you should renegotiate Render Enterprise OR plan a cloud migration. The $5K/mo for 1M users is likely a starting point for negotiation, not a ceiling.</t>
  </si>
  <si>
    <t xml:space="preserve">• Subs-needed (col E) and monthly-net (col H) now use the post-fee effective sub price = $5 × (1 - blended payment rate). At default 30/20/50 iOS/Android/Web mix the blended rate is ~10%, so effective price is $4.50.</t>
  </si>
  <si>
    <t xml:space="preserve">Render hosting — configuration at each scale</t>
  </si>
  <si>
    <t xml:space="preserve">Recommended Render config + monthly cost at each user-count milestone. Beyond 1M, plan to renegotiate or migrate.</t>
  </si>
  <si>
    <t xml:space="preserve">Hosting recommendations</t>
  </si>
  <si>
    <t xml:space="preserve">User count</t>
  </si>
  <si>
    <t xml:space="preserve">Web service</t>
  </si>
  <si>
    <t xml:space="preserve">Postgres</t>
  </si>
  <si>
    <t xml:space="preserve">Bandwidth</t>
  </si>
  <si>
    <t xml:space="preserve">Notes / when to upgrade</t>
  </si>
  <si>
    <t xml:space="preserve">Standard ($25)</t>
  </si>
  <si>
    <t xml:space="preserve">Basic 1GB ($19)</t>
  </si>
  <si>
    <t xml:space="preserve">Free tier (100GB)</t>
  </si>
  <si>
    <t xml:space="preserve">Stays here through Y1. Single instance is fine.</t>
  </si>
  <si>
    <t xml:space="preserve">Pro ($85)</t>
  </si>
  <si>
    <t xml:space="preserve">Basic 4GB ($95)</t>
  </si>
  <si>
    <t xml:space="preserve">~50GB ($0)</t>
  </si>
  <si>
    <t xml:space="preserve">Upgrade web to Pro when concurrent users exceed ~200.</t>
  </si>
  <si>
    <t xml:space="preserve">2× Pro ($170) + Redis ($30)</t>
  </si>
  <si>
    <t xml:space="preserve">Pro 4GB ($185)</t>
  </si>
  <si>
    <t xml:space="preserve">200GB ($10)</t>
  </si>
  <si>
    <t xml:space="preserve">Autoscale + Redis caching is the big jump. Postgres needs HA + automated backups.</t>
  </si>
  <si>
    <t xml:space="preserve">2-3× Pro ($170-255) + Redis ($30)</t>
  </si>
  <si>
    <t xml:space="preserve">500GB ($40)</t>
  </si>
  <si>
    <t xml:space="preserve">Same shape as 50K — bandwidth scales but compute is OK with caching.</t>
  </si>
  <si>
    <t xml:space="preserve">2× Pro Plus ($350) + Redis ($85)</t>
  </si>
  <si>
    <t xml:space="preserve">1TB ($100)</t>
  </si>
  <si>
    <t xml:space="preserve">Memory headroom for connection pooling. Consider replica reads.</t>
  </si>
  <si>
    <t xml:space="preserve">4× Pro Max ($1,800)</t>
  </si>
  <si>
    <t xml:space="preserve">Pro 8GB ($345) + replica</t>
  </si>
  <si>
    <t xml:space="preserve">2TB ($200)</t>
  </si>
  <si>
    <t xml:space="preserve">Multi-region warm-failover. Renegotiate with Render.</t>
  </si>
  <si>
    <t xml:space="preserve">Render Enterprise contract</t>
  </si>
  <si>
    <t xml:space="preserve">Pro 16GB ($770)</t>
  </si>
  <si>
    <t xml:space="preserve">5TB ($500)</t>
  </si>
  <si>
    <t xml:space="preserve">Negotiate volume discount with Render OR start AWS/GCP migration plan.</t>
  </si>
  <si>
    <t xml:space="preserve">10,000,000 users</t>
  </si>
  <si>
    <t xml:space="preserve">Migrated to AWS/GCP multi-region</t>
  </si>
  <si>
    <t xml:space="preserve">Dedicated DB cluster ~$8K</t>
  </si>
  <si>
    <t xml:space="preserve">CDN + WAF ~$5K</t>
  </si>
  <si>
    <t xml:space="preserve">Render alone won't scale here. Need DevOps/SRE. Plan migration at ~3M users.</t>
  </si>
  <si>
    <t xml:space="preserve">100,000,000 users</t>
  </si>
  <si>
    <t xml:space="preserve">Multi-cloud, dedicated SRE team</t>
  </si>
  <si>
    <t xml:space="preserve">Sharded clusters ~$50K+</t>
  </si>
  <si>
    <t xml:space="preserve">Global CDN ~$30K</t>
  </si>
  <si>
    <t xml:space="preserve">FAANG-tier infrastructure investment. Custom platform engineering. Real-time data layer.</t>
  </si>
  <si>
    <t xml:space="preserve">Annual cost = monthly × 12. Multiply column E by 12 for yearly hosting line item.</t>
  </si>
  <si>
    <t xml:space="preserve">Migration thresholds</t>
  </si>
  <si>
    <t xml:space="preserve">• ≤500K users: Render is a great fit. Focus on product, not infra.</t>
  </si>
  <si>
    <t xml:space="preserve">• 500K-1M users: Talk to Render about Enterprise. Volume discount usually 20-40%. Bandwidth is the biggest line item — consider Cloudflare R2 + CDN to offload egress.</t>
  </si>
  <si>
    <t xml:space="preserve">• 1M-10M users: Migrate to AWS/GCP/Cloudflare. Hire one DevOps engineer. Render bills become unpredictable here; cloud gives you per-second pricing + reserved instances.</t>
  </si>
  <si>
    <t xml:space="preserve">• 10M+ users: Full SRE team, multi-region active-active, real-time data layer (Kafka/Kinesis), dedicated security/compliance. This is a fundamentally different company.</t>
  </si>
  <si>
    <t xml:space="preserve">CivicView — 5-year P&amp;L (infrastructure-only)</t>
  </si>
  <si>
    <t xml:space="preserve">Year-by-year revenue, costs, and net. All driven by the Assumptions sheet — change inputs there and this updates.</t>
  </si>
  <si>
    <t xml:space="preserve">Users</t>
  </si>
  <si>
    <t xml:space="preserve">Paying subscribers (at 3% conversion)</t>
  </si>
  <si>
    <t xml:space="preserve">Revenue</t>
  </si>
  <si>
    <t xml:space="preserve">Subscription revenue (subs × $60/yr)</t>
  </si>
  <si>
    <t xml:space="preserve">Total revenue</t>
  </si>
  <si>
    <t xml:space="preserve">Costs</t>
  </si>
  <si>
    <t xml:space="preserve">ID.me verification (new users × $1.50)</t>
  </si>
  <si>
    <t xml:space="preserve">Render hosting (annual)</t>
  </si>
  <si>
    <t xml:space="preserve">Other recurring infra (annual)</t>
  </si>
  <si>
    <t xml:space="preserve">Payment processing (app store + Stripe)</t>
  </si>
  <si>
    <t xml:space="preserve">External penetration test</t>
  </si>
  <si>
    <t xml:space="preserve">Total costs</t>
  </si>
  <si>
    <t xml:space="preserve">Net income</t>
  </si>
  <si>
    <t xml:space="preserve">Net income (year)</t>
  </si>
  <si>
    <t xml:space="preserve">Cumulative net income</t>
  </si>
  <si>
    <t xml:space="preserve">Margin (net / revenue)</t>
  </si>
  <si>
    <t xml:space="preserve">Reading this sheet</t>
  </si>
  <si>
    <t xml:space="preserve">• Y1-Y2 show losses: ID.me verification + initial Render costs + Y2 pen-test ($5K) exceed early subscription revenue at 1K-10K users.</t>
  </si>
  <si>
    <t xml:space="preserve">• Y3 is the new break-even year (~$4K positive) under your moderate ramp + 3% conversion. Y4-Y5 deliver the bulk of the cumulative net.</t>
  </si>
  <si>
    <t xml:space="preserve">• Cumulative net by Y5: ~$375K — your reinvestment runway. (Down from ~$565K pre-Phase-4 once payment fees + pen-test were added.)</t>
  </si>
  <si>
    <t xml:space="preserve">• Sensitivity to watch: dropping conversion to 1% would deepen losses through Y3 and push Y5 net into the red on slow/moderate ramps. Raising to 5% pushes Y5 net to ~$850K.</t>
  </si>
  <si>
    <t xml:space="preserve">• ID.me remains the dominant cost (~75% of Y4-Y5 total). Volume pricing (typical at 100K+ verifications/yr) directly improves margin.</t>
  </si>
  <si>
    <t xml:space="preserve">• Payment processing (app store + Stripe) now broken out — applies the Assumptions blended rate (~10% at default 30/20/50 mix) to gross revenue.</t>
  </si>
  <si>
    <t xml:space="preserve">• External pen-test costs ramp from $5K (Y1) to $20K (Y5) following the cybersecurity attack-surface schedule in Assumptions row 50.</t>
  </si>
  <si>
    <t xml:space="preserve">Sensitivity — Year-5 net income at different conversion + growth</t>
  </si>
  <si>
    <t xml:space="preserve">Hardcoded scenarios (independent of Assumptions sheet) so you can compare side-by-side without editing.</t>
  </si>
  <si>
    <t xml:space="preserve">Y5 net income — sensitivity to conversion × growth</t>
  </si>
  <si>
    <t xml:space="preserve">Growth scenario \ Conversion</t>
  </si>
  <si>
    <t xml:space="preserve">1%</t>
  </si>
  <si>
    <t xml:space="preserve">3%</t>
  </si>
  <si>
    <t xml:space="preserve">5%</t>
  </si>
  <si>
    <t xml:space="preserve">10%</t>
  </si>
  <si>
    <t xml:space="preserve">Slow ramp (250K Y5)</t>
  </si>
  <si>
    <t xml:space="preserve">Moderate ramp (500K Y5)</t>
  </si>
  <si>
    <t xml:space="preserve">Aggressive ramp (1M Y5)</t>
  </si>
  <si>
    <t xml:space="preserve">Reading this grid</t>
  </si>
  <si>
    <t xml:space="preserve">• Your selected scenario is highlighted in yellow (Moderate ramp + 3% conversion).</t>
  </si>
  <si>
    <t xml:space="preserve">• Each cell shows Year-5 net income (revenue minus all costs that year, not cumulative).</t>
  </si>
  <si>
    <t xml:space="preserve">• The diagonals matter: doubling conversion has a bigger impact than doubling growth, because growth also doubles the ID.me verification bill.</t>
  </si>
  <si>
    <t xml:space="preserve">• The 'Aggressive ramp + 1%' cell can be negative — that's the danger zone: scaling fast on free users without conversion is the worst combination.</t>
  </si>
  <si>
    <t xml:space="preserve">• Updated to include payment-processing fees (gross revenue × blended rate) and Y5 pen-test cost — see Assumptions rows 46 + 50. Numbers are slightly lower than the previous version because of the ~10% fee drag.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</si>
</sst>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\(#,##0\);\-"/>
    <numFmt numFmtId="166" formatCode="0.0%;\(0.0%\);\-"/>
    <numFmt numFmtId="167" formatCode="\$#,##0;&quot;($&quot;#,##0\);\-"/>
    <numFmt numFmtId="168" formatCode="\$#,##0.00;&quot;($&quot;#,##0.00\);\-"/>
    <numFmt numFmtId="169" formatCode="0.0&quot; months&quot;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1F3A52"/>
      <name val="Arial"/>
      <family val="0"/>
      <charset val="1"/>
    </font>
    <font>
      <i val="true"/>
      <sz val="11"/>
      <color rgb="FF5F5E5A"/>
      <name val="Arial"/>
      <family val="0"/>
      <charset val="1"/>
    </font>
    <font>
      <b val="true"/>
      <sz val="14"/>
      <color rgb="FF1F3A52"/>
      <name val="Arial"/>
      <family val="0"/>
      <charset val="1"/>
    </font>
    <font>
      <b val="true"/>
      <sz val="11"/>
      <color rgb="FF1F3A52"/>
      <name val="Arial"/>
      <family val="0"/>
      <charset val="1"/>
    </font>
    <font>
      <sz val="10"/>
      <name val="Arial"/>
      <family val="0"/>
      <charset val="1"/>
    </font>
    <font>
      <b val="true"/>
      <sz val="14"/>
      <color rgb="FFB71C1C"/>
      <name val="Arial"/>
      <family val="0"/>
      <charset val="1"/>
    </font>
    <font>
      <sz val="10"/>
      <color rgb="FFB71C1C"/>
      <name val="Arial"/>
      <family val="0"/>
      <charset val="1"/>
    </font>
    <font>
      <b val="true"/>
      <sz val="16"/>
      <color rgb="FF1F3A52"/>
      <name val="Arial"/>
      <family val="0"/>
      <charset val="1"/>
    </font>
    <font>
      <i val="true"/>
      <sz val="10"/>
      <color rgb="FF5F5E5A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2C2C2A"/>
      <name val="Arial"/>
      <family val="0"/>
      <charset val="1"/>
    </font>
    <font>
      <sz val="11"/>
      <color rgb="FF2C2C2A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9"/>
      <color rgb="FF5F5E5A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0"/>
      <color rgb="FF1F3A52"/>
      <name val="Arial"/>
      <family val="0"/>
      <charset val="1"/>
    </font>
    <font>
      <sz val="9"/>
      <color rgb="FF5F5E5A"/>
      <name val="Arial"/>
      <family val="0"/>
      <charset val="1"/>
    </font>
    <font>
      <i val="true"/>
      <sz val="11"/>
      <color rgb="FF5F5E5A"/>
      <name val="Calibri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color rgb="FFFFFFFF"/>
      <name val="Calibri"/>
      <family val="0"/>
      <charset val="1"/>
    </font>
    <font>
      <sz val="11"/>
      <color rgb="FF2C2C2A"/>
      <name val="Calibri"/>
      <family val="0"/>
      <charset val="1"/>
    </font>
    <font>
      <sz val="11"/>
      <color rgb="FF0000FF"/>
      <name val="Calibri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rgb="FF2C2C2A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A52"/>
        <bgColor rgb="FF2C2C2A"/>
      </patternFill>
    </fill>
    <fill>
      <patternFill patternType="solid">
        <fgColor rgb="FFFFF6D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1F3A5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3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31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3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F5E5A"/>
      <rgbColor rgb="FF969696"/>
      <rgbColor rgb="FF1F3A52"/>
      <rgbColor rgb="FF339966"/>
      <rgbColor rgb="FF003300"/>
      <rgbColor rgb="FF333300"/>
      <rgbColor rgb="FFB71C1C"/>
      <rgbColor rgb="FF993366"/>
      <rgbColor rgb="FF333399"/>
      <rgbColor rgb="FF2C2C2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2"/>
    <col collapsed="false" customWidth="true" hidden="false" outlineLevel="0" max="3" min="3" style="1" width="60"/>
  </cols>
  <sheetData>
    <row r="2" customFormat="false" ht="26.25" hidden="false" customHeight="true" outlineLevel="0" collapsed="false">
      <c r="B2" s="2" t="s">
        <v>0</v>
      </c>
    </row>
    <row r="3" customFormat="false" ht="15" hidden="false" customHeight="true" outlineLevel="0" collapsed="false">
      <c r="B3" s="3" t="s">
        <v>1</v>
      </c>
    </row>
    <row r="5" customFormat="false" ht="17.25" hidden="false" customHeight="true" outlineLevel="0" collapsed="false">
      <c r="B5" s="4" t="s">
        <v>2</v>
      </c>
    </row>
    <row r="6" customFormat="false" ht="27.75" hidden="false" customHeight="true" outlineLevel="0" collapsed="false">
      <c r="B6" s="5" t="s">
        <v>3</v>
      </c>
      <c r="C6" s="6" t="s">
        <v>4</v>
      </c>
    </row>
    <row r="7" customFormat="false" ht="27.75" hidden="false" customHeight="true" outlineLevel="0" collapsed="false">
      <c r="B7" s="5" t="s">
        <v>5</v>
      </c>
      <c r="C7" s="6" t="s">
        <v>6</v>
      </c>
    </row>
    <row r="8" customFormat="false" ht="27.75" hidden="false" customHeight="true" outlineLevel="0" collapsed="false">
      <c r="B8" s="5" t="s">
        <v>7</v>
      </c>
      <c r="C8" s="6" t="s">
        <v>8</v>
      </c>
    </row>
    <row r="9" customFormat="false" ht="27.75" hidden="false" customHeight="true" outlineLevel="0" collapsed="false">
      <c r="B9" s="5" t="s">
        <v>9</v>
      </c>
      <c r="C9" s="6" t="s">
        <v>10</v>
      </c>
    </row>
    <row r="10" customFormat="false" ht="27.75" hidden="false" customHeight="true" outlineLevel="0" collapsed="false">
      <c r="B10" s="5" t="s">
        <v>11</v>
      </c>
      <c r="C10" s="6" t="s">
        <v>12</v>
      </c>
    </row>
    <row r="11" customFormat="false" ht="27.75" hidden="false" customHeight="true" outlineLevel="0" collapsed="false">
      <c r="B11" s="5" t="s">
        <v>13</v>
      </c>
      <c r="C11" s="6" t="s">
        <v>14</v>
      </c>
    </row>
    <row r="13" customFormat="false" ht="17.25" hidden="false" customHeight="true" outlineLevel="0" collapsed="false">
      <c r="B13" s="4" t="s">
        <v>15</v>
      </c>
    </row>
    <row r="14" customFormat="false" ht="27.75" hidden="false" customHeight="true" outlineLevel="0" collapsed="false">
      <c r="B14" s="7" t="s">
        <v>16</v>
      </c>
      <c r="C14" s="7"/>
    </row>
    <row r="15" customFormat="false" ht="27.75" hidden="false" customHeight="true" outlineLevel="0" collapsed="false">
      <c r="B15" s="7" t="s">
        <v>17</v>
      </c>
      <c r="C15" s="7"/>
    </row>
    <row r="16" customFormat="false" ht="27.75" hidden="false" customHeight="true" outlineLevel="0" collapsed="false">
      <c r="B16" s="7" t="s">
        <v>18</v>
      </c>
      <c r="C16" s="7"/>
    </row>
    <row r="17" customFormat="false" ht="27.75" hidden="false" customHeight="true" outlineLevel="0" collapsed="false">
      <c r="B17" s="7" t="s">
        <v>19</v>
      </c>
      <c r="C17" s="7"/>
    </row>
    <row r="18" customFormat="false" ht="27.75" hidden="false" customHeight="true" outlineLevel="0" collapsed="false">
      <c r="B18" s="7" t="s">
        <v>20</v>
      </c>
      <c r="C18" s="7"/>
    </row>
    <row r="20" customFormat="false" ht="17.25" hidden="false" customHeight="true" outlineLevel="0" collapsed="false">
      <c r="B20" s="8" t="s">
        <v>21</v>
      </c>
    </row>
    <row r="21" customFormat="false" ht="27.75" hidden="false" customHeight="true" outlineLevel="0" collapsed="false">
      <c r="B21" s="9" t="s">
        <v>22</v>
      </c>
      <c r="C21" s="9"/>
    </row>
    <row r="22" customFormat="false" ht="27.75" hidden="false" customHeight="true" outlineLevel="0" collapsed="false">
      <c r="B22" s="9" t="s">
        <v>23</v>
      </c>
      <c r="C22" s="9"/>
    </row>
    <row r="23" customFormat="false" ht="27.75" hidden="false" customHeight="true" outlineLevel="0" collapsed="false">
      <c r="B23" s="9" t="s">
        <v>24</v>
      </c>
      <c r="C23" s="9"/>
    </row>
    <row r="24" customFormat="false" ht="27.75" hidden="false" customHeight="true" outlineLevel="0" collapsed="false">
      <c r="B24" s="9" t="s">
        <v>25</v>
      </c>
      <c r="C24" s="9"/>
    </row>
    <row r="25" customFormat="false" ht="27.75" hidden="false" customHeight="true" outlineLevel="0" collapsed="false">
      <c r="B25" s="9" t="s">
        <v>26</v>
      </c>
      <c r="C25" s="9"/>
    </row>
  </sheetData>
  <mergeCells count="10">
    <mergeCell ref="B14:C14"/>
    <mergeCell ref="B15:C15"/>
    <mergeCell ref="B16:C16"/>
    <mergeCell ref="B17:C17"/>
    <mergeCell ref="B18:C18"/>
    <mergeCell ref="B21:C21"/>
    <mergeCell ref="B22:C22"/>
    <mergeCell ref="B23:C23"/>
    <mergeCell ref="B24:C24"/>
    <mergeCell ref="B25:C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7" min="2" style="1" width="14"/>
    <col collapsed="false" customWidth="true" hidden="false" outlineLevel="0" max="8" min="8" style="1" width="60"/>
  </cols>
  <sheetData>
    <row r="1" customFormat="false" ht="19.5" hidden="false" customHeight="true" outlineLevel="0" collapsed="false">
      <c r="A1" s="10" t="s">
        <v>27</v>
      </c>
    </row>
    <row r="2" customFormat="false" ht="15" hidden="false" customHeight="true" outlineLevel="0" collapsed="false">
      <c r="A2" s="11" t="s">
        <v>28</v>
      </c>
    </row>
    <row r="4" customFormat="false" ht="21.75" hidden="false" customHeight="true" outlineLevel="0" collapsed="false">
      <c r="A4" s="12" t="s">
        <v>29</v>
      </c>
      <c r="B4" s="13"/>
      <c r="C4" s="13"/>
      <c r="D4" s="13"/>
      <c r="E4" s="13"/>
      <c r="F4" s="13"/>
      <c r="G4" s="13"/>
      <c r="H4" s="13"/>
    </row>
    <row r="5" customFormat="false" ht="15" hidden="false" customHeight="true" outlineLevel="0" collapsed="false">
      <c r="A5" s="14"/>
    </row>
    <row r="6" customFormat="false" ht="15" hidden="false" customHeight="true" outlineLevel="0" collapsed="false">
      <c r="A6" s="15"/>
      <c r="B6" s="16" t="s">
        <v>30</v>
      </c>
      <c r="C6" s="16" t="s">
        <v>31</v>
      </c>
      <c r="D6" s="16" t="s">
        <v>32</v>
      </c>
      <c r="E6" s="16" t="s">
        <v>33</v>
      </c>
      <c r="F6" s="16" t="s">
        <v>34</v>
      </c>
    </row>
    <row r="7" customFormat="false" ht="15" hidden="false" customHeight="true" outlineLevel="0" collapsed="false">
      <c r="A7" s="17" t="s">
        <v>35</v>
      </c>
      <c r="B7" s="18" t="n">
        <v>1000</v>
      </c>
      <c r="C7" s="18" t="n">
        <v>10000</v>
      </c>
      <c r="D7" s="18" t="n">
        <v>50000</v>
      </c>
      <c r="E7" s="18" t="n">
        <v>200000</v>
      </c>
      <c r="F7" s="18" t="n">
        <v>500000</v>
      </c>
      <c r="H7" s="19" t="s">
        <v>36</v>
      </c>
    </row>
    <row r="8" customFormat="false" ht="15" hidden="false" customHeight="true" outlineLevel="0" collapsed="false">
      <c r="A8" s="17" t="s">
        <v>37</v>
      </c>
      <c r="B8" s="20" t="n">
        <f aca="false">B7</f>
        <v>1000</v>
      </c>
      <c r="C8" s="20" t="n">
        <f aca="false">C7-B7</f>
        <v>9000</v>
      </c>
      <c r="D8" s="20" t="n">
        <f aca="false">D7-C7</f>
        <v>40000</v>
      </c>
      <c r="E8" s="20" t="n">
        <f aca="false">E7-D7</f>
        <v>150000</v>
      </c>
      <c r="F8" s="20" t="n">
        <f aca="false">F7-E7</f>
        <v>300000</v>
      </c>
    </row>
    <row r="10" customFormat="false" ht="21.75" hidden="false" customHeight="true" outlineLevel="0" collapsed="false">
      <c r="A10" s="12" t="s">
        <v>38</v>
      </c>
      <c r="B10" s="13"/>
      <c r="C10" s="13"/>
      <c r="D10" s="13"/>
      <c r="E10" s="13"/>
      <c r="F10" s="13"/>
      <c r="G10" s="13"/>
      <c r="H10" s="13"/>
    </row>
    <row r="11" customFormat="false" ht="15" hidden="false" customHeight="true" outlineLevel="0" collapsed="false">
      <c r="A11" s="17" t="s">
        <v>39</v>
      </c>
      <c r="B11" s="21" t="n">
        <v>0.03</v>
      </c>
      <c r="H11" s="19" t="s">
        <v>40</v>
      </c>
    </row>
    <row r="12" customFormat="false" ht="15" hidden="false" customHeight="true" outlineLevel="0" collapsed="false">
      <c r="A12" s="17" t="s">
        <v>41</v>
      </c>
      <c r="B12" s="22" t="n">
        <v>5</v>
      </c>
      <c r="H12" s="19" t="s">
        <v>42</v>
      </c>
    </row>
    <row r="13" customFormat="false" ht="15" hidden="false" customHeight="true" outlineLevel="0" collapsed="false">
      <c r="A13" s="17" t="s">
        <v>43</v>
      </c>
      <c r="B13" s="23" t="n">
        <f aca="false">B12*12</f>
        <v>60</v>
      </c>
      <c r="H13" s="19" t="s">
        <v>44</v>
      </c>
    </row>
    <row r="15" customFormat="false" ht="21.75" hidden="false" customHeight="true" outlineLevel="0" collapsed="false">
      <c r="A15" s="12" t="s">
        <v>45</v>
      </c>
      <c r="B15" s="13"/>
      <c r="C15" s="13"/>
      <c r="D15" s="13"/>
      <c r="E15" s="13"/>
      <c r="F15" s="13"/>
      <c r="G15" s="13"/>
      <c r="H15" s="13"/>
    </row>
    <row r="16" customFormat="false" ht="15" hidden="false" customHeight="true" outlineLevel="0" collapsed="false">
      <c r="A16" s="17" t="s">
        <v>46</v>
      </c>
      <c r="B16" s="24" t="n">
        <v>1.5</v>
      </c>
      <c r="H16" s="19" t="s">
        <v>47</v>
      </c>
    </row>
    <row r="17" customFormat="false" ht="15" hidden="false" customHeight="true" outlineLevel="0" collapsed="false">
      <c r="A17" s="17" t="s">
        <v>48</v>
      </c>
      <c r="B17" s="21" t="n">
        <v>1</v>
      </c>
      <c r="H17" s="19" t="s">
        <v>49</v>
      </c>
    </row>
    <row r="18" customFormat="false" ht="15" hidden="false" customHeight="true" outlineLevel="0" collapsed="false">
      <c r="A18" s="17" t="s">
        <v>50</v>
      </c>
      <c r="B18" s="21" t="n">
        <v>0</v>
      </c>
      <c r="H18" s="19" t="s">
        <v>51</v>
      </c>
    </row>
    <row r="20" customFormat="false" ht="21.75" hidden="false" customHeight="true" outlineLevel="0" collapsed="false">
      <c r="A20" s="12" t="s">
        <v>52</v>
      </c>
      <c r="B20" s="13"/>
      <c r="C20" s="13"/>
      <c r="D20" s="13"/>
      <c r="E20" s="13"/>
      <c r="F20" s="13"/>
      <c r="G20" s="13"/>
      <c r="H20" s="13"/>
    </row>
    <row r="21" customFormat="false" ht="15" hidden="false" customHeight="true" outlineLevel="0" collapsed="false">
      <c r="A21" s="15" t="s">
        <v>53</v>
      </c>
      <c r="B21" s="25" t="s">
        <v>54</v>
      </c>
      <c r="H21" s="26" t="s">
        <v>55</v>
      </c>
    </row>
    <row r="22" customFormat="false" ht="15" hidden="false" customHeight="true" outlineLevel="0" collapsed="false">
      <c r="A22" s="17" t="s">
        <v>56</v>
      </c>
      <c r="B22" s="22" t="n">
        <v>50</v>
      </c>
      <c r="H22" s="27" t="s">
        <v>57</v>
      </c>
    </row>
    <row r="23" customFormat="false" ht="15" hidden="false" customHeight="true" outlineLevel="0" collapsed="false">
      <c r="A23" s="17" t="s">
        <v>58</v>
      </c>
      <c r="B23" s="22" t="n">
        <v>180</v>
      </c>
      <c r="H23" s="27" t="s">
        <v>59</v>
      </c>
    </row>
    <row r="24" customFormat="false" ht="15" hidden="false" customHeight="true" outlineLevel="0" collapsed="false">
      <c r="A24" s="17" t="s">
        <v>60</v>
      </c>
      <c r="B24" s="22" t="n">
        <v>450</v>
      </c>
      <c r="H24" s="27" t="s">
        <v>61</v>
      </c>
    </row>
    <row r="25" customFormat="false" ht="15" hidden="false" customHeight="true" outlineLevel="0" collapsed="false">
      <c r="A25" s="17" t="s">
        <v>62</v>
      </c>
      <c r="B25" s="22" t="n">
        <v>1000</v>
      </c>
      <c r="H25" s="27" t="s">
        <v>63</v>
      </c>
    </row>
    <row r="26" customFormat="false" ht="15" hidden="false" customHeight="true" outlineLevel="0" collapsed="false">
      <c r="A26" s="17" t="s">
        <v>64</v>
      </c>
      <c r="B26" s="22" t="n">
        <v>2500</v>
      </c>
      <c r="H26" s="27" t="s">
        <v>65</v>
      </c>
    </row>
    <row r="27" customFormat="false" ht="15" hidden="false" customHeight="true" outlineLevel="0" collapsed="false">
      <c r="A27" s="17" t="s">
        <v>66</v>
      </c>
      <c r="B27" s="22" t="n">
        <v>5000</v>
      </c>
      <c r="H27" s="27" t="s">
        <v>67</v>
      </c>
    </row>
    <row r="28" customFormat="false" ht="15" hidden="false" customHeight="true" outlineLevel="0" collapsed="false">
      <c r="A28" s="17" t="s">
        <v>68</v>
      </c>
      <c r="B28" s="22" t="n">
        <v>25000</v>
      </c>
      <c r="H28" s="27" t="s">
        <v>69</v>
      </c>
    </row>
    <row r="29" customFormat="false" ht="15" hidden="false" customHeight="true" outlineLevel="0" collapsed="false">
      <c r="A29" s="17" t="s">
        <v>70</v>
      </c>
      <c r="B29" s="22" t="n">
        <v>250000</v>
      </c>
      <c r="H29" s="27" t="s">
        <v>71</v>
      </c>
    </row>
    <row r="31" customFormat="false" ht="21.75" hidden="false" customHeight="true" outlineLevel="0" collapsed="false">
      <c r="A31" s="12" t="s">
        <v>72</v>
      </c>
      <c r="B31" s="13"/>
      <c r="C31" s="13"/>
      <c r="D31" s="13"/>
      <c r="E31" s="13"/>
      <c r="F31" s="13"/>
      <c r="G31" s="13"/>
      <c r="H31" s="13"/>
    </row>
    <row r="32" customFormat="false" ht="15" hidden="false" customHeight="true" outlineLevel="0" collapsed="false">
      <c r="A32" s="17" t="s">
        <v>73</v>
      </c>
      <c r="B32" s="22" t="n">
        <v>50</v>
      </c>
      <c r="H32" s="27" t="s">
        <v>74</v>
      </c>
    </row>
    <row r="33" customFormat="false" ht="15" hidden="false" customHeight="true" outlineLevel="0" collapsed="false">
      <c r="A33" s="17" t="s">
        <v>75</v>
      </c>
      <c r="B33" s="22" t="n">
        <v>500</v>
      </c>
      <c r="H33" s="27" t="s">
        <v>76</v>
      </c>
    </row>
    <row r="34" customFormat="false" ht="15" hidden="false" customHeight="true" outlineLevel="0" collapsed="false">
      <c r="A34" s="17" t="s">
        <v>77</v>
      </c>
      <c r="B34" s="22" t="n">
        <v>300</v>
      </c>
      <c r="H34" s="27" t="s">
        <v>78</v>
      </c>
    </row>
    <row r="35" customFormat="false" ht="15" hidden="false" customHeight="true" outlineLevel="0" collapsed="false">
      <c r="A35" s="17" t="s">
        <v>79</v>
      </c>
      <c r="B35" s="22" t="n">
        <v>200</v>
      </c>
      <c r="H35" s="27" t="s">
        <v>80</v>
      </c>
    </row>
    <row r="36" customFormat="false" ht="15" hidden="false" customHeight="true" outlineLevel="0" collapsed="false">
      <c r="A36" s="17" t="s">
        <v>81</v>
      </c>
      <c r="B36" s="22" t="n">
        <v>500</v>
      </c>
      <c r="H36" s="28" t="s">
        <v>82</v>
      </c>
    </row>
    <row r="37" customFormat="false" ht="15" hidden="false" customHeight="true" outlineLevel="0" collapsed="false">
      <c r="A37" s="15" t="s">
        <v>83</v>
      </c>
      <c r="B37" s="29" t="n">
        <f aca="false">SUM(B32:B36)</f>
        <v>1550</v>
      </c>
    </row>
    <row r="39" customFormat="false" ht="15" hidden="false" customHeight="true" outlineLevel="0" collapsed="false">
      <c r="A39" s="30" t="s">
        <v>84</v>
      </c>
      <c r="B39" s="13"/>
      <c r="C39" s="13"/>
      <c r="D39" s="13"/>
      <c r="E39" s="13"/>
      <c r="F39" s="13"/>
      <c r="G39" s="13"/>
      <c r="H39" s="13"/>
    </row>
    <row r="40" customFormat="false" ht="15" hidden="false" customHeight="true" outlineLevel="0" collapsed="false">
      <c r="A40" s="31" t="s">
        <v>85</v>
      </c>
      <c r="B40" s="32" t="n">
        <v>0.3</v>
      </c>
      <c r="H40" s="28" t="s">
        <v>86</v>
      </c>
    </row>
    <row r="41" customFormat="false" ht="15" hidden="false" customHeight="true" outlineLevel="0" collapsed="false">
      <c r="A41" s="31" t="s">
        <v>87</v>
      </c>
      <c r="B41" s="32" t="n">
        <v>0.2</v>
      </c>
      <c r="H41" s="28" t="s">
        <v>88</v>
      </c>
    </row>
    <row r="42" customFormat="false" ht="15" hidden="false" customHeight="true" outlineLevel="0" collapsed="false">
      <c r="A42" s="31" t="s">
        <v>89</v>
      </c>
      <c r="B42" s="33" t="n">
        <f aca="false">1-B40-B41</f>
        <v>0.5</v>
      </c>
      <c r="H42" s="28" t="s">
        <v>90</v>
      </c>
    </row>
    <row r="43" customFormat="false" ht="15" hidden="false" customHeight="true" outlineLevel="0" collapsed="false">
      <c r="A43" s="31" t="s">
        <v>91</v>
      </c>
      <c r="B43" s="32" t="n">
        <v>0.15</v>
      </c>
      <c r="H43" s="28" t="s">
        <v>92</v>
      </c>
    </row>
    <row r="44" customFormat="false" ht="15" hidden="false" customHeight="true" outlineLevel="0" collapsed="false">
      <c r="A44" s="31" t="s">
        <v>93</v>
      </c>
      <c r="B44" s="32" t="n">
        <v>0.15</v>
      </c>
      <c r="H44" s="28" t="s">
        <v>94</v>
      </c>
    </row>
    <row r="45" customFormat="false" ht="15" hidden="false" customHeight="true" outlineLevel="0" collapsed="false">
      <c r="A45" s="31" t="s">
        <v>95</v>
      </c>
      <c r="B45" s="32" t="n">
        <v>0.05</v>
      </c>
      <c r="H45" s="28" t="s">
        <v>96</v>
      </c>
    </row>
    <row r="46" customFormat="false" ht="15" hidden="false" customHeight="true" outlineLevel="0" collapsed="false">
      <c r="A46" s="34" t="s">
        <v>97</v>
      </c>
      <c r="B46" s="35" t="n">
        <f aca="false">B40*B43+B41*B44+B42*B45</f>
        <v>0.1</v>
      </c>
      <c r="H46" s="28" t="s">
        <v>98</v>
      </c>
    </row>
    <row r="48" customFormat="false" ht="15" hidden="false" customHeight="true" outlineLevel="0" collapsed="false">
      <c r="A48" s="30" t="s">
        <v>99</v>
      </c>
      <c r="B48" s="13"/>
      <c r="C48" s="13"/>
      <c r="D48" s="13"/>
      <c r="E48" s="13"/>
      <c r="F48" s="13"/>
      <c r="G48" s="13"/>
      <c r="H48" s="13"/>
    </row>
    <row r="49" customFormat="false" ht="15" hidden="false" customHeight="true" outlineLevel="0" collapsed="false">
      <c r="B49" s="34" t="s">
        <v>30</v>
      </c>
      <c r="C49" s="34" t="s">
        <v>31</v>
      </c>
      <c r="D49" s="34" t="s">
        <v>32</v>
      </c>
      <c r="E49" s="34" t="s">
        <v>33</v>
      </c>
      <c r="F49" s="34" t="s">
        <v>34</v>
      </c>
    </row>
    <row r="50" customFormat="false" ht="15" hidden="false" customHeight="true" outlineLevel="0" collapsed="false">
      <c r="A50" s="31" t="s">
        <v>100</v>
      </c>
      <c r="B50" s="36" t="n">
        <v>0</v>
      </c>
      <c r="C50" s="36" t="n">
        <v>5000</v>
      </c>
      <c r="D50" s="36" t="n">
        <v>10000</v>
      </c>
      <c r="E50" s="36" t="n">
        <v>15000</v>
      </c>
      <c r="F50" s="36" t="n">
        <v>20000</v>
      </c>
      <c r="H50" s="28" t="s">
        <v>101</v>
      </c>
    </row>
    <row r="52" customFormat="false" ht="15" hidden="false" customHeight="true" outlineLevel="0" collapsed="false">
      <c r="A52" s="34" t="s">
        <v>102</v>
      </c>
    </row>
    <row r="53" customFormat="false" ht="15" hidden="false" customHeight="true" outlineLevel="0" collapsed="false">
      <c r="A53" s="37" t="s">
        <v>102</v>
      </c>
      <c r="B53" s="37"/>
      <c r="C53" s="37"/>
      <c r="D53" s="37"/>
      <c r="E53" s="37"/>
      <c r="F53" s="37"/>
      <c r="G53" s="37"/>
      <c r="H53" s="37"/>
    </row>
    <row r="54" customFormat="false" ht="15" hidden="false" customHeight="true" outlineLevel="0" collapsed="false">
      <c r="A54" s="37" t="s">
        <v>103</v>
      </c>
      <c r="B54" s="37"/>
      <c r="C54" s="37"/>
      <c r="D54" s="37"/>
      <c r="E54" s="37"/>
      <c r="F54" s="37"/>
      <c r="G54" s="37"/>
      <c r="H54" s="37"/>
    </row>
    <row r="55" customFormat="false" ht="15" hidden="false" customHeight="true" outlineLevel="0" collapsed="false">
      <c r="A55" s="37" t="s">
        <v>104</v>
      </c>
      <c r="B55" s="37"/>
      <c r="C55" s="37"/>
      <c r="D55" s="37"/>
      <c r="E55" s="37"/>
      <c r="F55" s="37"/>
      <c r="G55" s="37"/>
      <c r="H55" s="37"/>
    </row>
    <row r="56" customFormat="false" ht="15" hidden="false" customHeight="true" outlineLevel="0" collapsed="false">
      <c r="A56" s="37" t="s">
        <v>105</v>
      </c>
      <c r="B56" s="37"/>
      <c r="C56" s="37"/>
      <c r="D56" s="37"/>
      <c r="E56" s="37"/>
      <c r="F56" s="37"/>
      <c r="G56" s="37"/>
      <c r="H56" s="37"/>
    </row>
    <row r="57" customFormat="false" ht="15" hidden="false" customHeight="true" outlineLevel="0" collapsed="false">
      <c r="A57" s="37" t="s">
        <v>106</v>
      </c>
      <c r="B57" s="37"/>
      <c r="C57" s="37"/>
      <c r="D57" s="37"/>
      <c r="E57" s="37"/>
      <c r="F57" s="37"/>
      <c r="G57" s="37"/>
      <c r="H57" s="37"/>
    </row>
    <row r="58" customFormat="false" ht="15" hidden="false" customHeight="true" outlineLevel="0" collapsed="false">
      <c r="A58" s="37" t="s">
        <v>107</v>
      </c>
      <c r="B58" s="37"/>
      <c r="C58" s="37"/>
      <c r="D58" s="37"/>
      <c r="E58" s="37"/>
      <c r="F58" s="37"/>
      <c r="G58" s="37"/>
      <c r="H58" s="37"/>
    </row>
    <row r="59" customFormat="false" ht="15" hidden="false" customHeight="true" outlineLevel="0" collapsed="false">
      <c r="A59" s="37" t="s">
        <v>108</v>
      </c>
      <c r="B59" s="37"/>
      <c r="C59" s="37"/>
      <c r="D59" s="37"/>
      <c r="E59" s="37"/>
      <c r="F59" s="37"/>
      <c r="G59" s="37"/>
      <c r="H59" s="37"/>
    </row>
    <row r="60" customFormat="false" ht="15" hidden="false" customHeight="true" outlineLevel="0" collapsed="false">
      <c r="A60" s="37" t="s">
        <v>109</v>
      </c>
      <c r="B60" s="37"/>
      <c r="C60" s="37"/>
      <c r="D60" s="37"/>
      <c r="E60" s="37"/>
      <c r="F60" s="37"/>
      <c r="G60" s="37"/>
      <c r="H60" s="37"/>
    </row>
  </sheetData>
  <mergeCells count="8">
    <mergeCell ref="A53:H53"/>
    <mergeCell ref="A54:H54"/>
    <mergeCell ref="A55:H55"/>
    <mergeCell ref="A56:H56"/>
    <mergeCell ref="A57:H57"/>
    <mergeCell ref="A58:H58"/>
    <mergeCell ref="A59:H59"/>
    <mergeCell ref="A60:H6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3" min="2" style="1" width="18"/>
    <col collapsed="false" customWidth="true" hidden="false" outlineLevel="0" max="5" min="4" style="1" width="22"/>
    <col collapsed="false" customWidth="true" hidden="false" outlineLevel="0" max="6" min="6" style="1" width="28"/>
    <col collapsed="false" customWidth="true" hidden="false" outlineLevel="0" max="7" min="7" style="1" width="60"/>
  </cols>
  <sheetData>
    <row r="1" customFormat="false" ht="19.5" hidden="false" customHeight="true" outlineLevel="0" collapsed="false">
      <c r="A1" s="10" t="s">
        <v>110</v>
      </c>
    </row>
    <row r="2" customFormat="false" ht="15" hidden="false" customHeight="true" outlineLevel="0" collapsed="false">
      <c r="A2" s="11" t="s">
        <v>111</v>
      </c>
    </row>
    <row r="4" customFormat="false" ht="21.75" hidden="false" customHeight="true" outlineLevel="0" collapsed="false">
      <c r="A4" s="12" t="s">
        <v>112</v>
      </c>
      <c r="B4" s="13"/>
      <c r="C4" s="13"/>
      <c r="D4" s="13"/>
      <c r="E4" s="13"/>
      <c r="F4" s="13"/>
      <c r="G4" s="13"/>
    </row>
    <row r="6" customFormat="false" ht="31.5" hidden="false" customHeight="true" outlineLevel="0" collapsed="false">
      <c r="A6" s="38" t="s">
        <v>113</v>
      </c>
      <c r="B6" s="38" t="s">
        <v>114</v>
      </c>
      <c r="C6" s="38" t="s">
        <v>115</v>
      </c>
      <c r="D6" s="38" t="s">
        <v>116</v>
      </c>
      <c r="E6" s="38" t="s">
        <v>117</v>
      </c>
      <c r="F6" s="38" t="s">
        <v>118</v>
      </c>
      <c r="G6" s="38" t="s">
        <v>102</v>
      </c>
    </row>
    <row r="7" customFormat="false" ht="15" hidden="false" customHeight="true" outlineLevel="0" collapsed="false">
      <c r="A7" s="39" t="s">
        <v>119</v>
      </c>
      <c r="B7" s="40" t="n">
        <f aca="false">1000*'1. Assumptions'!B17</f>
        <v>1000</v>
      </c>
      <c r="C7" s="41" t="n">
        <f aca="false">'1. Assumptions'!B16</f>
        <v>1.5</v>
      </c>
      <c r="D7" s="23" t="n">
        <f aca="false">B7*C7</f>
        <v>1500</v>
      </c>
      <c r="E7" s="23" t="n">
        <f aca="false">D7/12</f>
        <v>125</v>
      </c>
      <c r="F7" s="42" t="n">
        <f aca="false">D7/(B7*'1. Assumptions'!B11*'1. Assumptions'!B12)</f>
        <v>10</v>
      </c>
      <c r="G7" s="27" t="s">
        <v>120</v>
      </c>
    </row>
    <row r="8" customFormat="false" ht="15" hidden="false" customHeight="true" outlineLevel="0" collapsed="false">
      <c r="A8" s="39" t="s">
        <v>121</v>
      </c>
      <c r="B8" s="40" t="n">
        <f aca="false">10000*'1. Assumptions'!B17</f>
        <v>10000</v>
      </c>
      <c r="C8" s="41" t="n">
        <f aca="false">'1. Assumptions'!B16</f>
        <v>1.5</v>
      </c>
      <c r="D8" s="23" t="n">
        <f aca="false">B8*C8</f>
        <v>15000</v>
      </c>
      <c r="E8" s="23" t="n">
        <f aca="false">D8/12</f>
        <v>1250</v>
      </c>
      <c r="F8" s="42" t="n">
        <f aca="false">D8/(B8*'1. Assumptions'!B11*'1. Assumptions'!B12)</f>
        <v>10</v>
      </c>
      <c r="G8" s="27" t="s">
        <v>122</v>
      </c>
    </row>
    <row r="9" customFormat="false" ht="15" hidden="false" customHeight="true" outlineLevel="0" collapsed="false">
      <c r="A9" s="39" t="s">
        <v>123</v>
      </c>
      <c r="B9" s="40" t="n">
        <f aca="false">100000*'1. Assumptions'!B17</f>
        <v>100000</v>
      </c>
      <c r="C9" s="41" t="n">
        <f aca="false">'1. Assumptions'!B16</f>
        <v>1.5</v>
      </c>
      <c r="D9" s="23" t="n">
        <f aca="false">B9*C9</f>
        <v>150000</v>
      </c>
      <c r="E9" s="23" t="n">
        <f aca="false">D9/12</f>
        <v>12500</v>
      </c>
      <c r="F9" s="42" t="n">
        <f aca="false">D9/(B9*'1. Assumptions'!B11*'1. Assumptions'!B12)</f>
        <v>10</v>
      </c>
      <c r="G9" s="27" t="s">
        <v>124</v>
      </c>
    </row>
    <row r="10" customFormat="false" ht="15" hidden="false" customHeight="true" outlineLevel="0" collapsed="false">
      <c r="A10" s="39" t="s">
        <v>125</v>
      </c>
      <c r="B10" s="40" t="n">
        <f aca="false">500000*'1. Assumptions'!B17</f>
        <v>500000</v>
      </c>
      <c r="C10" s="41" t="n">
        <f aca="false">'1. Assumptions'!B16</f>
        <v>1.5</v>
      </c>
      <c r="D10" s="23" t="n">
        <f aca="false">B10*C10</f>
        <v>750000</v>
      </c>
      <c r="E10" s="23" t="n">
        <f aca="false">D10/12</f>
        <v>62500</v>
      </c>
      <c r="F10" s="42" t="n">
        <f aca="false">D10/(B10*'1. Assumptions'!B11*'1. Assumptions'!B12)</f>
        <v>10</v>
      </c>
      <c r="G10" s="27" t="s">
        <v>126</v>
      </c>
    </row>
    <row r="11" customFormat="false" ht="15" hidden="false" customHeight="true" outlineLevel="0" collapsed="false">
      <c r="A11" s="39" t="s">
        <v>127</v>
      </c>
      <c r="B11" s="40" t="n">
        <f aca="false">1000000*'1. Assumptions'!B17</f>
        <v>1000000</v>
      </c>
      <c r="C11" s="41" t="n">
        <f aca="false">'1. Assumptions'!B16</f>
        <v>1.5</v>
      </c>
      <c r="D11" s="23" t="n">
        <f aca="false">B11*C11</f>
        <v>1500000</v>
      </c>
      <c r="E11" s="23" t="n">
        <f aca="false">D11/12</f>
        <v>125000</v>
      </c>
      <c r="F11" s="42" t="n">
        <f aca="false">D11/(B11*'1. Assumptions'!B11*'1. Assumptions'!B12)</f>
        <v>10</v>
      </c>
      <c r="G11" s="27" t="s">
        <v>128</v>
      </c>
    </row>
    <row r="13" customFormat="false" ht="15" hidden="false" customHeight="true" outlineLevel="0" collapsed="false">
      <c r="A13" s="5" t="s">
        <v>129</v>
      </c>
    </row>
    <row r="14" customFormat="false" ht="30" hidden="false" customHeight="true" outlineLevel="0" collapsed="false">
      <c r="A14" s="7" t="s">
        <v>130</v>
      </c>
      <c r="B14" s="7"/>
      <c r="C14" s="7"/>
      <c r="D14" s="7"/>
      <c r="E14" s="7"/>
      <c r="F14" s="7"/>
      <c r="G14" s="7"/>
    </row>
    <row r="15" customFormat="false" ht="30" hidden="false" customHeight="true" outlineLevel="0" collapsed="false">
      <c r="A15" s="7" t="s">
        <v>131</v>
      </c>
      <c r="B15" s="7"/>
      <c r="C15" s="7"/>
      <c r="D15" s="7"/>
      <c r="E15" s="7"/>
      <c r="F15" s="7"/>
      <c r="G15" s="7"/>
    </row>
    <row r="16" customFormat="false" ht="30" hidden="false" customHeight="true" outlineLevel="0" collapsed="false">
      <c r="A16" s="7" t="s">
        <v>132</v>
      </c>
      <c r="B16" s="7"/>
      <c r="C16" s="7"/>
      <c r="D16" s="7"/>
      <c r="E16" s="7"/>
      <c r="F16" s="7"/>
      <c r="G16" s="7"/>
    </row>
    <row r="17" customFormat="false" ht="30" hidden="false" customHeight="true" outlineLevel="0" collapsed="false">
      <c r="A17" s="7" t="s">
        <v>133</v>
      </c>
      <c r="B17" s="7"/>
      <c r="C17" s="7"/>
      <c r="D17" s="7"/>
      <c r="E17" s="7"/>
      <c r="F17" s="7"/>
      <c r="G17" s="7"/>
    </row>
  </sheetData>
  <mergeCells count="4">
    <mergeCell ref="A14:G14"/>
    <mergeCell ref="A15:G15"/>
    <mergeCell ref="A16:G16"/>
    <mergeCell ref="A17:G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4" min="2" style="1" width="14"/>
    <col collapsed="false" customWidth="true" hidden="false" outlineLevel="0" max="5" min="5" style="1" width="16"/>
    <col collapsed="false" customWidth="true" hidden="false" outlineLevel="0" max="6" min="6" style="1" width="18"/>
    <col collapsed="false" customWidth="true" hidden="false" outlineLevel="0" max="7" min="7" style="1" width="14"/>
    <col collapsed="false" customWidth="true" hidden="false" outlineLevel="0" max="8" min="8" style="1" width="18"/>
  </cols>
  <sheetData>
    <row r="1" customFormat="false" ht="19.5" hidden="false" customHeight="true" outlineLevel="0" collapsed="false">
      <c r="A1" s="10" t="s">
        <v>134</v>
      </c>
    </row>
    <row r="2" customFormat="false" ht="15" hidden="false" customHeight="true" outlineLevel="0" collapsed="false">
      <c r="A2" s="11" t="s">
        <v>135</v>
      </c>
    </row>
    <row r="4" customFormat="false" ht="21.75" hidden="false" customHeight="true" outlineLevel="0" collapsed="false">
      <c r="A4" s="12" t="s">
        <v>136</v>
      </c>
      <c r="B4" s="13"/>
      <c r="C4" s="13"/>
      <c r="D4" s="13"/>
      <c r="E4" s="13"/>
      <c r="F4" s="13"/>
      <c r="G4" s="13"/>
      <c r="H4" s="13"/>
    </row>
    <row r="6" customFormat="false" ht="31.5" hidden="false" customHeight="true" outlineLevel="0" collapsed="false">
      <c r="A6" s="38" t="s">
        <v>113</v>
      </c>
      <c r="B6" s="38" t="s">
        <v>137</v>
      </c>
      <c r="C6" s="38" t="s">
        <v>138</v>
      </c>
      <c r="D6" s="38" t="s">
        <v>139</v>
      </c>
      <c r="E6" s="38" t="s">
        <v>140</v>
      </c>
      <c r="F6" s="38" t="s">
        <v>141</v>
      </c>
      <c r="G6" s="38" t="s">
        <v>142</v>
      </c>
      <c r="H6" s="38" t="s">
        <v>143</v>
      </c>
    </row>
    <row r="7" customFormat="false" ht="15" hidden="false" customHeight="true" outlineLevel="0" collapsed="false">
      <c r="A7" s="39" t="s">
        <v>119</v>
      </c>
      <c r="B7" s="43" t="n">
        <f aca="false">'1. Assumptions'!B22</f>
        <v>50</v>
      </c>
      <c r="C7" s="43" t="n">
        <f aca="false">'1. Assumptions'!B37/12</f>
        <v>129.166666666667</v>
      </c>
      <c r="D7" s="23" t="n">
        <f aca="false">B7+C7</f>
        <v>179.166666666667</v>
      </c>
      <c r="E7" s="44" t="n">
        <f aca="false">ROUNDUP(D7/('1. Assumptions'!$B$12*(1-'1. Assumptions'!$B$46)),0)</f>
        <v>40</v>
      </c>
      <c r="F7" s="44" t="n">
        <f aca="false">1000*'1. Assumptions'!B11</f>
        <v>30</v>
      </c>
      <c r="G7" s="44" t="n">
        <f aca="false">F7-E7</f>
        <v>-10</v>
      </c>
      <c r="H7" s="23" t="n">
        <f aca="false">F7*'1. Assumptions'!$B$12*(1-'1. Assumptions'!$B$46)-D7</f>
        <v>-44.1666666666667</v>
      </c>
    </row>
    <row r="8" customFormat="false" ht="15" hidden="false" customHeight="true" outlineLevel="0" collapsed="false">
      <c r="A8" s="39" t="s">
        <v>121</v>
      </c>
      <c r="B8" s="43" t="n">
        <f aca="false">'1. Assumptions'!B23</f>
        <v>180</v>
      </c>
      <c r="C8" s="43" t="n">
        <f aca="false">'1. Assumptions'!B37/12</f>
        <v>129.166666666667</v>
      </c>
      <c r="D8" s="23" t="n">
        <f aca="false">B8+C8</f>
        <v>309.166666666667</v>
      </c>
      <c r="E8" s="44" t="n">
        <f aca="false">ROUNDUP(D8/('1. Assumptions'!$B$12*(1-'1. Assumptions'!$B$46)),0)</f>
        <v>69</v>
      </c>
      <c r="F8" s="44" t="n">
        <f aca="false">10000*'1. Assumptions'!B11</f>
        <v>300</v>
      </c>
      <c r="G8" s="44" t="n">
        <f aca="false">F8-E8</f>
        <v>231</v>
      </c>
      <c r="H8" s="23" t="n">
        <f aca="false">F8*'1. Assumptions'!$B$12*(1-'1. Assumptions'!$B$46)-D8</f>
        <v>1040.83333333333</v>
      </c>
    </row>
    <row r="9" customFormat="false" ht="15" hidden="false" customHeight="true" outlineLevel="0" collapsed="false">
      <c r="A9" s="39" t="s">
        <v>144</v>
      </c>
      <c r="B9" s="43" t="n">
        <f aca="false">'1. Assumptions'!B24</f>
        <v>450</v>
      </c>
      <c r="C9" s="43" t="n">
        <f aca="false">'1. Assumptions'!B37/12</f>
        <v>129.166666666667</v>
      </c>
      <c r="D9" s="23" t="n">
        <f aca="false">B9+C9</f>
        <v>579.166666666667</v>
      </c>
      <c r="E9" s="44" t="n">
        <f aca="false">ROUNDUP(D9/('1. Assumptions'!$B$12*(1-'1. Assumptions'!$B$46)),0)</f>
        <v>129</v>
      </c>
      <c r="F9" s="44" t="n">
        <f aca="false">50000*'1. Assumptions'!B11</f>
        <v>1500</v>
      </c>
      <c r="G9" s="44" t="n">
        <f aca="false">F9-E9</f>
        <v>1371</v>
      </c>
      <c r="H9" s="23" t="n">
        <f aca="false">F9*'1. Assumptions'!$B$12*(1-'1. Assumptions'!$B$46)-D9</f>
        <v>6170.83333333333</v>
      </c>
    </row>
    <row r="10" customFormat="false" ht="15" hidden="false" customHeight="true" outlineLevel="0" collapsed="false">
      <c r="A10" s="39" t="s">
        <v>123</v>
      </c>
      <c r="B10" s="43" t="n">
        <f aca="false">'1. Assumptions'!B24</f>
        <v>450</v>
      </c>
      <c r="C10" s="43" t="n">
        <f aca="false">'1. Assumptions'!B37/12</f>
        <v>129.166666666667</v>
      </c>
      <c r="D10" s="23" t="n">
        <f aca="false">B10+C10</f>
        <v>579.166666666667</v>
      </c>
      <c r="E10" s="44" t="n">
        <f aca="false">ROUNDUP(D10/('1. Assumptions'!$B$12*(1-'1. Assumptions'!$B$46)),0)</f>
        <v>129</v>
      </c>
      <c r="F10" s="44" t="n">
        <f aca="false">100000*'1. Assumptions'!B11</f>
        <v>3000</v>
      </c>
      <c r="G10" s="44" t="n">
        <f aca="false">F10-E10</f>
        <v>2871</v>
      </c>
      <c r="H10" s="23" t="n">
        <f aca="false">F10*'1. Assumptions'!$B$12*(1-'1. Assumptions'!$B$46)-D10</f>
        <v>12920.8333333333</v>
      </c>
    </row>
    <row r="11" customFormat="false" ht="15" hidden="false" customHeight="true" outlineLevel="0" collapsed="false">
      <c r="A11" s="39" t="s">
        <v>145</v>
      </c>
      <c r="B11" s="43" t="n">
        <f aca="false">'1. Assumptions'!B25</f>
        <v>1000</v>
      </c>
      <c r="C11" s="43" t="n">
        <f aca="false">'1. Assumptions'!B37/12</f>
        <v>129.166666666667</v>
      </c>
      <c r="D11" s="23" t="n">
        <f aca="false">B11+C11</f>
        <v>1129.16666666667</v>
      </c>
      <c r="E11" s="44" t="n">
        <f aca="false">ROUNDUP(D11/('1. Assumptions'!$B$12*(1-'1. Assumptions'!$B$46)),0)</f>
        <v>251</v>
      </c>
      <c r="F11" s="44" t="n">
        <f aca="false">200000*'1. Assumptions'!B11</f>
        <v>6000</v>
      </c>
      <c r="G11" s="44" t="n">
        <f aca="false">F11-E11</f>
        <v>5749</v>
      </c>
      <c r="H11" s="23" t="n">
        <f aca="false">F11*'1. Assumptions'!$B$12*(1-'1. Assumptions'!$B$46)-D11</f>
        <v>25870.8333333333</v>
      </c>
    </row>
    <row r="12" customFormat="false" ht="15" hidden="false" customHeight="true" outlineLevel="0" collapsed="false">
      <c r="A12" s="39" t="s">
        <v>125</v>
      </c>
      <c r="B12" s="43" t="n">
        <f aca="false">'1. Assumptions'!B26</f>
        <v>2500</v>
      </c>
      <c r="C12" s="43" t="n">
        <f aca="false">'1. Assumptions'!B37/12</f>
        <v>129.166666666667</v>
      </c>
      <c r="D12" s="23" t="n">
        <f aca="false">B12+C12</f>
        <v>2629.16666666667</v>
      </c>
      <c r="E12" s="44" t="n">
        <f aca="false">ROUNDUP(D12/('1. Assumptions'!$B$12*(1-'1. Assumptions'!$B$46)),0)</f>
        <v>585</v>
      </c>
      <c r="F12" s="44" t="n">
        <f aca="false">500000*'1. Assumptions'!B11</f>
        <v>15000</v>
      </c>
      <c r="G12" s="44" t="n">
        <f aca="false">F12-E12</f>
        <v>14415</v>
      </c>
      <c r="H12" s="23" t="n">
        <f aca="false">F12*'1. Assumptions'!$B$12*(1-'1. Assumptions'!$B$46)-D12</f>
        <v>64870.8333333333</v>
      </c>
    </row>
    <row r="13" customFormat="false" ht="15" hidden="false" customHeight="true" outlineLevel="0" collapsed="false">
      <c r="A13" s="39" t="s">
        <v>127</v>
      </c>
      <c r="B13" s="43" t="n">
        <f aca="false">'1. Assumptions'!B27</f>
        <v>5000</v>
      </c>
      <c r="C13" s="43" t="n">
        <f aca="false">'1. Assumptions'!B37/12</f>
        <v>129.166666666667</v>
      </c>
      <c r="D13" s="23" t="n">
        <f aca="false">B13+C13</f>
        <v>5129.16666666667</v>
      </c>
      <c r="E13" s="44" t="n">
        <f aca="false">ROUNDUP(D13/('1. Assumptions'!$B$12*(1-'1. Assumptions'!$B$46)),0)</f>
        <v>1140</v>
      </c>
      <c r="F13" s="44" t="n">
        <f aca="false">1000000*'1. Assumptions'!B11</f>
        <v>30000</v>
      </c>
      <c r="G13" s="44" t="n">
        <f aca="false">F13-E13</f>
        <v>28860</v>
      </c>
      <c r="H13" s="23" t="n">
        <f aca="false">F13*'1. Assumptions'!$B$12*(1-'1. Assumptions'!$B$46)-D13</f>
        <v>129870.833333333</v>
      </c>
    </row>
    <row r="16" customFormat="false" ht="15" hidden="false" customHeight="true" outlineLevel="0" collapsed="false">
      <c r="A16" s="5" t="s">
        <v>146</v>
      </c>
    </row>
    <row r="17" customFormat="false" ht="30" hidden="false" customHeight="true" outlineLevel="0" collapsed="false">
      <c r="A17" s="7" t="s">
        <v>147</v>
      </c>
      <c r="B17" s="7"/>
      <c r="C17" s="7"/>
      <c r="D17" s="7"/>
      <c r="E17" s="7"/>
      <c r="F17" s="7"/>
      <c r="G17" s="7"/>
      <c r="H17" s="7"/>
    </row>
    <row r="18" customFormat="false" ht="30" hidden="false" customHeight="true" outlineLevel="0" collapsed="false">
      <c r="A18" s="7" t="s">
        <v>148</v>
      </c>
      <c r="B18" s="7"/>
      <c r="C18" s="7"/>
      <c r="D18" s="7"/>
      <c r="E18" s="7"/>
      <c r="F18" s="7"/>
      <c r="G18" s="7"/>
      <c r="H18" s="7"/>
    </row>
    <row r="19" customFormat="false" ht="30" hidden="false" customHeight="true" outlineLevel="0" collapsed="false">
      <c r="A19" s="7" t="s">
        <v>149</v>
      </c>
      <c r="B19" s="7"/>
      <c r="C19" s="7"/>
      <c r="D19" s="7"/>
      <c r="E19" s="7"/>
      <c r="F19" s="7"/>
      <c r="G19" s="7"/>
      <c r="H19" s="7"/>
    </row>
    <row r="20" customFormat="false" ht="30" hidden="false" customHeight="true" outlineLevel="0" collapsed="false">
      <c r="A20" s="7" t="s">
        <v>150</v>
      </c>
      <c r="B20" s="7"/>
      <c r="C20" s="7"/>
      <c r="D20" s="7"/>
      <c r="E20" s="7"/>
      <c r="F20" s="7"/>
      <c r="G20" s="7"/>
      <c r="H20" s="7"/>
    </row>
    <row r="22" customFormat="false" ht="15" hidden="false" customHeight="true" outlineLevel="0" collapsed="false">
      <c r="A22" s="45" t="s">
        <v>151</v>
      </c>
    </row>
  </sheetData>
  <mergeCells count="4">
    <mergeCell ref="A17:H17"/>
    <mergeCell ref="A18:H18"/>
    <mergeCell ref="A19:H19"/>
    <mergeCell ref="A20:H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28"/>
    <col collapsed="false" customWidth="true" hidden="false" outlineLevel="0" max="3" min="3" style="1" width="24"/>
    <col collapsed="false" customWidth="true" hidden="false" outlineLevel="0" max="5" min="4" style="1" width="18"/>
    <col collapsed="false" customWidth="true" hidden="false" outlineLevel="0" max="6" min="6" style="1" width="60"/>
  </cols>
  <sheetData>
    <row r="1" customFormat="false" ht="19.5" hidden="false" customHeight="true" outlineLevel="0" collapsed="false">
      <c r="A1" s="10" t="s">
        <v>152</v>
      </c>
    </row>
    <row r="2" customFormat="false" ht="15" hidden="false" customHeight="true" outlineLevel="0" collapsed="false">
      <c r="A2" s="11" t="s">
        <v>153</v>
      </c>
    </row>
    <row r="4" customFormat="false" ht="21.75" hidden="false" customHeight="true" outlineLevel="0" collapsed="false">
      <c r="A4" s="12" t="s">
        <v>154</v>
      </c>
      <c r="B4" s="13"/>
      <c r="C4" s="13"/>
      <c r="D4" s="13"/>
      <c r="E4" s="13"/>
      <c r="F4" s="13"/>
    </row>
    <row r="6" customFormat="false" ht="31.5" hidden="false" customHeight="true" outlineLevel="0" collapsed="false">
      <c r="A6" s="38" t="s">
        <v>155</v>
      </c>
      <c r="B6" s="38" t="s">
        <v>156</v>
      </c>
      <c r="C6" s="38" t="s">
        <v>157</v>
      </c>
      <c r="D6" s="38" t="s">
        <v>158</v>
      </c>
      <c r="E6" s="38" t="s">
        <v>54</v>
      </c>
      <c r="F6" s="38" t="s">
        <v>159</v>
      </c>
    </row>
    <row r="7" customFormat="false" ht="31.5" hidden="false" customHeight="true" outlineLevel="0" collapsed="false">
      <c r="A7" s="39" t="s">
        <v>119</v>
      </c>
      <c r="B7" s="45" t="s">
        <v>160</v>
      </c>
      <c r="C7" s="45" t="s">
        <v>161</v>
      </c>
      <c r="D7" s="45" t="s">
        <v>162</v>
      </c>
      <c r="E7" s="46" t="n">
        <v>50</v>
      </c>
      <c r="F7" s="47" t="s">
        <v>163</v>
      </c>
    </row>
    <row r="8" customFormat="false" ht="31.5" hidden="false" customHeight="true" outlineLevel="0" collapsed="false">
      <c r="A8" s="39" t="s">
        <v>121</v>
      </c>
      <c r="B8" s="45" t="s">
        <v>164</v>
      </c>
      <c r="C8" s="45" t="s">
        <v>165</v>
      </c>
      <c r="D8" s="45" t="s">
        <v>166</v>
      </c>
      <c r="E8" s="46" t="n">
        <v>180</v>
      </c>
      <c r="F8" s="47" t="s">
        <v>167</v>
      </c>
    </row>
    <row r="9" customFormat="false" ht="31.5" hidden="false" customHeight="true" outlineLevel="0" collapsed="false">
      <c r="A9" s="39" t="s">
        <v>144</v>
      </c>
      <c r="B9" s="45" t="s">
        <v>168</v>
      </c>
      <c r="C9" s="45" t="s">
        <v>169</v>
      </c>
      <c r="D9" s="45" t="s">
        <v>170</v>
      </c>
      <c r="E9" s="46" t="n">
        <v>450</v>
      </c>
      <c r="F9" s="47" t="s">
        <v>171</v>
      </c>
    </row>
    <row r="10" customFormat="false" ht="31.5" hidden="false" customHeight="true" outlineLevel="0" collapsed="false">
      <c r="A10" s="39" t="s">
        <v>123</v>
      </c>
      <c r="B10" s="45" t="s">
        <v>172</v>
      </c>
      <c r="C10" s="45" t="s">
        <v>169</v>
      </c>
      <c r="D10" s="45" t="s">
        <v>173</v>
      </c>
      <c r="E10" s="46" t="n">
        <v>450</v>
      </c>
      <c r="F10" s="47" t="s">
        <v>174</v>
      </c>
    </row>
    <row r="11" customFormat="false" ht="31.5" hidden="false" customHeight="true" outlineLevel="0" collapsed="false">
      <c r="A11" s="39" t="s">
        <v>145</v>
      </c>
      <c r="B11" s="45" t="s">
        <v>175</v>
      </c>
      <c r="C11" s="45" t="s">
        <v>169</v>
      </c>
      <c r="D11" s="45" t="s">
        <v>176</v>
      </c>
      <c r="E11" s="46" t="n">
        <v>1000</v>
      </c>
      <c r="F11" s="47" t="s">
        <v>177</v>
      </c>
    </row>
    <row r="12" customFormat="false" ht="31.5" hidden="false" customHeight="true" outlineLevel="0" collapsed="false">
      <c r="A12" s="39" t="s">
        <v>125</v>
      </c>
      <c r="B12" s="45" t="s">
        <v>178</v>
      </c>
      <c r="C12" s="45" t="s">
        <v>179</v>
      </c>
      <c r="D12" s="45" t="s">
        <v>180</v>
      </c>
      <c r="E12" s="46" t="n">
        <v>2500</v>
      </c>
      <c r="F12" s="47" t="s">
        <v>181</v>
      </c>
    </row>
    <row r="13" customFormat="false" ht="31.5" hidden="false" customHeight="true" outlineLevel="0" collapsed="false">
      <c r="A13" s="39" t="s">
        <v>127</v>
      </c>
      <c r="B13" s="45" t="s">
        <v>182</v>
      </c>
      <c r="C13" s="45" t="s">
        <v>183</v>
      </c>
      <c r="D13" s="45" t="s">
        <v>184</v>
      </c>
      <c r="E13" s="46" t="n">
        <v>5000</v>
      </c>
      <c r="F13" s="47" t="s">
        <v>185</v>
      </c>
    </row>
    <row r="14" customFormat="false" ht="31.5" hidden="false" customHeight="true" outlineLevel="0" collapsed="false">
      <c r="A14" s="39" t="s">
        <v>186</v>
      </c>
      <c r="B14" s="45" t="s">
        <v>187</v>
      </c>
      <c r="C14" s="45" t="s">
        <v>188</v>
      </c>
      <c r="D14" s="45" t="s">
        <v>189</v>
      </c>
      <c r="E14" s="46" t="n">
        <v>25000</v>
      </c>
      <c r="F14" s="47" t="s">
        <v>190</v>
      </c>
    </row>
    <row r="15" customFormat="false" ht="31.5" hidden="false" customHeight="true" outlineLevel="0" collapsed="false">
      <c r="A15" s="39" t="s">
        <v>191</v>
      </c>
      <c r="B15" s="45" t="s">
        <v>192</v>
      </c>
      <c r="C15" s="45" t="s">
        <v>193</v>
      </c>
      <c r="D15" s="45" t="s">
        <v>194</v>
      </c>
      <c r="E15" s="46" t="n">
        <v>250000</v>
      </c>
      <c r="F15" s="47" t="s">
        <v>195</v>
      </c>
    </row>
    <row r="17" customFormat="false" ht="15" hidden="false" customHeight="true" outlineLevel="0" collapsed="false">
      <c r="A17" s="48" t="s">
        <v>196</v>
      </c>
      <c r="B17" s="48"/>
      <c r="C17" s="48"/>
      <c r="D17" s="48"/>
      <c r="E17" s="48"/>
      <c r="F17" s="48"/>
    </row>
    <row r="19" customFormat="false" ht="15" hidden="false" customHeight="true" outlineLevel="0" collapsed="false">
      <c r="A19" s="5" t="s">
        <v>197</v>
      </c>
    </row>
    <row r="20" customFormat="false" ht="27.75" hidden="false" customHeight="true" outlineLevel="0" collapsed="false">
      <c r="A20" s="7" t="s">
        <v>198</v>
      </c>
      <c r="B20" s="7"/>
      <c r="C20" s="7"/>
      <c r="D20" s="7"/>
      <c r="E20" s="7"/>
      <c r="F20" s="7"/>
    </row>
    <row r="21" customFormat="false" ht="27.75" hidden="false" customHeight="true" outlineLevel="0" collapsed="false">
      <c r="A21" s="7" t="s">
        <v>199</v>
      </c>
      <c r="B21" s="7"/>
      <c r="C21" s="7"/>
      <c r="D21" s="7"/>
      <c r="E21" s="7"/>
      <c r="F21" s="7"/>
    </row>
    <row r="22" customFormat="false" ht="27.75" hidden="false" customHeight="true" outlineLevel="0" collapsed="false">
      <c r="A22" s="7" t="s">
        <v>200</v>
      </c>
      <c r="B22" s="7"/>
      <c r="C22" s="7"/>
      <c r="D22" s="7"/>
      <c r="E22" s="7"/>
      <c r="F22" s="7"/>
    </row>
    <row r="23" customFormat="false" ht="27.75" hidden="false" customHeight="true" outlineLevel="0" collapsed="false">
      <c r="A23" s="7" t="s">
        <v>201</v>
      </c>
      <c r="B23" s="7"/>
      <c r="C23" s="7"/>
      <c r="D23" s="7"/>
      <c r="E23" s="7"/>
      <c r="F23" s="7"/>
    </row>
  </sheetData>
  <mergeCells count="5">
    <mergeCell ref="A17:F17"/>
    <mergeCell ref="A20:F20"/>
    <mergeCell ref="A21:F21"/>
    <mergeCell ref="A22:F22"/>
    <mergeCell ref="A23:F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6"/>
    <col collapsed="false" customWidth="true" hidden="false" outlineLevel="0" max="6" min="2" style="1" width="14"/>
  </cols>
  <sheetData>
    <row r="1" customFormat="false" ht="19.5" hidden="false" customHeight="true" outlineLevel="0" collapsed="false">
      <c r="A1" s="10" t="s">
        <v>202</v>
      </c>
    </row>
    <row r="2" customFormat="false" ht="15" hidden="false" customHeight="true" outlineLevel="0" collapsed="false">
      <c r="A2" s="11" t="s">
        <v>203</v>
      </c>
    </row>
    <row r="4" customFormat="false" ht="21.75" hidden="false" customHeight="true" outlineLevel="0" collapsed="false">
      <c r="B4" s="49" t="s">
        <v>30</v>
      </c>
      <c r="C4" s="49" t="s">
        <v>31</v>
      </c>
      <c r="D4" s="49" t="s">
        <v>32</v>
      </c>
      <c r="E4" s="49" t="s">
        <v>33</v>
      </c>
      <c r="F4" s="49" t="s">
        <v>34</v>
      </c>
    </row>
    <row r="6" customFormat="false" ht="21.75" hidden="false" customHeight="true" outlineLevel="0" collapsed="false">
      <c r="A6" s="12" t="s">
        <v>204</v>
      </c>
      <c r="B6" s="13"/>
      <c r="C6" s="13"/>
      <c r="D6" s="13"/>
      <c r="E6" s="13"/>
      <c r="F6" s="13"/>
    </row>
    <row r="7" customFormat="false" ht="15" hidden="false" customHeight="true" outlineLevel="0" collapsed="false">
      <c r="A7" s="17" t="s">
        <v>35</v>
      </c>
      <c r="B7" s="40" t="n">
        <f aca="false">'1. Assumptions'!B7</f>
        <v>1000</v>
      </c>
      <c r="C7" s="40" t="n">
        <f aca="false">'1. Assumptions'!C7</f>
        <v>10000</v>
      </c>
      <c r="D7" s="40" t="n">
        <f aca="false">'1. Assumptions'!D7</f>
        <v>50000</v>
      </c>
      <c r="E7" s="40" t="n">
        <f aca="false">'1. Assumptions'!E7</f>
        <v>200000</v>
      </c>
      <c r="F7" s="40" t="n">
        <f aca="false">'1. Assumptions'!F7</f>
        <v>500000</v>
      </c>
    </row>
    <row r="8" customFormat="false" ht="15" hidden="false" customHeight="true" outlineLevel="0" collapsed="false">
      <c r="A8" s="17" t="s">
        <v>37</v>
      </c>
      <c r="B8" s="40" t="n">
        <f aca="false">'1. Assumptions'!B8</f>
        <v>1000</v>
      </c>
      <c r="C8" s="40" t="n">
        <f aca="false">'1. Assumptions'!C8</f>
        <v>9000</v>
      </c>
      <c r="D8" s="40" t="n">
        <f aca="false">'1. Assumptions'!D8</f>
        <v>40000</v>
      </c>
      <c r="E8" s="40" t="n">
        <f aca="false">'1. Assumptions'!E8</f>
        <v>150000</v>
      </c>
      <c r="F8" s="40" t="n">
        <f aca="false">'1. Assumptions'!F8</f>
        <v>300000</v>
      </c>
    </row>
    <row r="9" customFormat="false" ht="15" hidden="false" customHeight="true" outlineLevel="0" collapsed="false">
      <c r="A9" s="17" t="s">
        <v>205</v>
      </c>
      <c r="B9" s="44" t="n">
        <f aca="false">ROUND(B7*'1. Assumptions'!$B$11,0)</f>
        <v>30</v>
      </c>
      <c r="C9" s="44" t="n">
        <f aca="false">ROUND(C7*'1. Assumptions'!$B$11,0)</f>
        <v>300</v>
      </c>
      <c r="D9" s="44" t="n">
        <f aca="false">ROUND(D7*'1. Assumptions'!$B$11,0)</f>
        <v>1500</v>
      </c>
      <c r="E9" s="44" t="n">
        <f aca="false">ROUND(E7*'1. Assumptions'!$B$11,0)</f>
        <v>6000</v>
      </c>
      <c r="F9" s="44" t="n">
        <f aca="false">ROUND(F7*'1. Assumptions'!$B$11,0)</f>
        <v>15000</v>
      </c>
    </row>
    <row r="11" customFormat="false" ht="21.75" hidden="false" customHeight="true" outlineLevel="0" collapsed="false">
      <c r="A11" s="12" t="s">
        <v>206</v>
      </c>
      <c r="B11" s="13"/>
      <c r="C11" s="13"/>
      <c r="D11" s="13"/>
      <c r="E11" s="13"/>
      <c r="F11" s="13"/>
    </row>
    <row r="12" customFormat="false" ht="15" hidden="false" customHeight="true" outlineLevel="0" collapsed="false">
      <c r="A12" s="17" t="s">
        <v>207</v>
      </c>
      <c r="B12" s="23" t="n">
        <f aca="false">B9*'1. Assumptions'!$B$13</f>
        <v>1800</v>
      </c>
      <c r="C12" s="23" t="n">
        <f aca="false">C9*'1. Assumptions'!$B$13</f>
        <v>18000</v>
      </c>
      <c r="D12" s="23" t="n">
        <f aca="false">D9*'1. Assumptions'!$B$13</f>
        <v>90000</v>
      </c>
      <c r="E12" s="23" t="n">
        <f aca="false">E9*'1. Assumptions'!$B$13</f>
        <v>360000</v>
      </c>
      <c r="F12" s="23" t="n">
        <f aca="false">F9*'1. Assumptions'!$B$13</f>
        <v>900000</v>
      </c>
    </row>
    <row r="13" customFormat="false" ht="15" hidden="false" customHeight="true" outlineLevel="0" collapsed="false">
      <c r="A13" s="15" t="s">
        <v>208</v>
      </c>
      <c r="B13" s="50" t="n">
        <f aca="false">B12</f>
        <v>1800</v>
      </c>
      <c r="C13" s="50" t="n">
        <f aca="false">C12</f>
        <v>18000</v>
      </c>
      <c r="D13" s="50" t="n">
        <f aca="false">D12</f>
        <v>90000</v>
      </c>
      <c r="E13" s="50" t="n">
        <f aca="false">E12</f>
        <v>360000</v>
      </c>
      <c r="F13" s="50" t="n">
        <f aca="false">F12</f>
        <v>900000</v>
      </c>
    </row>
    <row r="15" customFormat="false" ht="21.75" hidden="false" customHeight="true" outlineLevel="0" collapsed="false">
      <c r="A15" s="12" t="s">
        <v>209</v>
      </c>
      <c r="B15" s="13"/>
      <c r="C15" s="13"/>
      <c r="D15" s="13"/>
      <c r="E15" s="13"/>
      <c r="F15" s="13"/>
    </row>
    <row r="16" customFormat="false" ht="15" hidden="false" customHeight="true" outlineLevel="0" collapsed="false">
      <c r="A16" s="17" t="s">
        <v>210</v>
      </c>
      <c r="B16" s="23" t="n">
        <f aca="false">B8*'1. Assumptions'!$B$16*'1. Assumptions'!$B$17</f>
        <v>1500</v>
      </c>
      <c r="C16" s="23" t="n">
        <f aca="false">C8*'1. Assumptions'!$B$16*'1. Assumptions'!$B$17</f>
        <v>13500</v>
      </c>
      <c r="D16" s="23" t="n">
        <f aca="false">D8*'1. Assumptions'!$B$16*'1. Assumptions'!$B$17</f>
        <v>60000</v>
      </c>
      <c r="E16" s="23" t="n">
        <f aca="false">E8*'1. Assumptions'!$B$16*'1. Assumptions'!$B$17</f>
        <v>225000</v>
      </c>
      <c r="F16" s="23" t="n">
        <f aca="false">F8*'1. Assumptions'!$B$16*'1. Assumptions'!$B$17</f>
        <v>450000</v>
      </c>
    </row>
    <row r="17" customFormat="false" ht="15" hidden="false" customHeight="true" outlineLevel="0" collapsed="false">
      <c r="A17" s="17" t="s">
        <v>211</v>
      </c>
      <c r="B17" s="23" t="n">
        <f aca="false">IF(B7&lt;=1000,'1. Assumptions'!$B$22,IF(B7&lt;=10000,'1. Assumptions'!$B$23,IF(B7&lt;=50000,'1. Assumptions'!$B$24,IF(B7&lt;=200000,'1. Assumptions'!$B$25,IF(B7&lt;=500000,'1. Assumptions'!$B$26,IF(B7&lt;=1000000,'1. Assumptions'!$B$27,'1. Assumptions'!$B$28))))))*12</f>
        <v>600</v>
      </c>
      <c r="C17" s="23" t="n">
        <f aca="false">IF(C7&lt;=1000,'1. Assumptions'!$B$22,IF(C7&lt;=10000,'1. Assumptions'!$B$23,IF(C7&lt;=50000,'1. Assumptions'!$B$24,IF(C7&lt;=200000,'1. Assumptions'!$B$25,IF(C7&lt;=500000,'1. Assumptions'!$B$26,IF(C7&lt;=1000000,'1. Assumptions'!$B$27,'1. Assumptions'!$B$28))))))*12</f>
        <v>2160</v>
      </c>
      <c r="D17" s="23" t="n">
        <f aca="false">IF(D7&lt;=1000,'1. Assumptions'!$B$22,IF(D7&lt;=10000,'1. Assumptions'!$B$23,IF(D7&lt;=50000,'1. Assumptions'!$B$24,IF(D7&lt;=200000,'1. Assumptions'!$B$25,IF(D7&lt;=500000,'1. Assumptions'!$B$26,IF(D7&lt;=1000000,'1. Assumptions'!$B$27,'1. Assumptions'!$B$28))))))*12</f>
        <v>5400</v>
      </c>
      <c r="E17" s="23" t="n">
        <f aca="false">IF(E7&lt;=1000,'1. Assumptions'!$B$22,IF(E7&lt;=10000,'1. Assumptions'!$B$23,IF(E7&lt;=50000,'1. Assumptions'!$B$24,IF(E7&lt;=200000,'1. Assumptions'!$B$25,IF(E7&lt;=500000,'1. Assumptions'!$B$26,IF(E7&lt;=1000000,'1. Assumptions'!$B$27,'1. Assumptions'!$B$28))))))*12</f>
        <v>12000</v>
      </c>
      <c r="F17" s="23" t="n">
        <f aca="false">IF(F7&lt;=1000,'1. Assumptions'!$B$22,IF(F7&lt;=10000,'1. Assumptions'!$B$23,IF(F7&lt;=50000,'1. Assumptions'!$B$24,IF(F7&lt;=200000,'1. Assumptions'!$B$25,IF(F7&lt;=500000,'1. Assumptions'!$B$26,IF(F7&lt;=1000000,'1. Assumptions'!$B$27,'1. Assumptions'!$B$28))))))*12</f>
        <v>30000</v>
      </c>
    </row>
    <row r="18" customFormat="false" ht="15" hidden="false" customHeight="true" outlineLevel="0" collapsed="false">
      <c r="A18" s="17" t="s">
        <v>212</v>
      </c>
      <c r="B18" s="43" t="n">
        <f aca="false">'1. Assumptions'!$B$37</f>
        <v>1550</v>
      </c>
      <c r="C18" s="43" t="n">
        <f aca="false">'1. Assumptions'!$B$37</f>
        <v>1550</v>
      </c>
      <c r="D18" s="43" t="n">
        <f aca="false">'1. Assumptions'!$B$37</f>
        <v>1550</v>
      </c>
      <c r="E18" s="43" t="n">
        <f aca="false">'1. Assumptions'!$B$37</f>
        <v>1550</v>
      </c>
      <c r="F18" s="43" t="n">
        <f aca="false">'1. Assumptions'!$B$37</f>
        <v>1550</v>
      </c>
    </row>
    <row r="19" customFormat="false" ht="15" hidden="false" customHeight="true" outlineLevel="0" collapsed="false">
      <c r="A19" s="17" t="s">
        <v>213</v>
      </c>
      <c r="B19" s="51" t="n">
        <f aca="false">B13*'1. Assumptions'!$B$46</f>
        <v>180</v>
      </c>
      <c r="C19" s="51" t="n">
        <f aca="false">C13*'1. Assumptions'!$B$46</f>
        <v>1800</v>
      </c>
      <c r="D19" s="51" t="n">
        <f aca="false">D13*'1. Assumptions'!$B$46</f>
        <v>9000</v>
      </c>
      <c r="E19" s="51" t="n">
        <f aca="false">E13*'1. Assumptions'!$B$46</f>
        <v>36000</v>
      </c>
      <c r="F19" s="51" t="n">
        <f aca="false">F13*'1. Assumptions'!$B$46</f>
        <v>90000</v>
      </c>
    </row>
    <row r="20" customFormat="false" ht="15" hidden="false" customHeight="true" outlineLevel="0" collapsed="false">
      <c r="A20" s="17" t="s">
        <v>214</v>
      </c>
      <c r="B20" s="51" t="n">
        <f aca="false">'1. Assumptions'!B50</f>
        <v>0</v>
      </c>
      <c r="C20" s="51" t="n">
        <f aca="false">'1. Assumptions'!C50</f>
        <v>5000</v>
      </c>
      <c r="D20" s="51" t="n">
        <f aca="false">'1. Assumptions'!D50</f>
        <v>10000</v>
      </c>
      <c r="E20" s="51" t="n">
        <f aca="false">'1. Assumptions'!E50</f>
        <v>15000</v>
      </c>
      <c r="F20" s="51" t="n">
        <f aca="false">'1. Assumptions'!F50</f>
        <v>20000</v>
      </c>
    </row>
    <row r="21" customFormat="false" ht="21.75" hidden="false" customHeight="true" outlineLevel="0" collapsed="false">
      <c r="A21" s="15" t="s">
        <v>215</v>
      </c>
      <c r="B21" s="50" t="n">
        <f aca="false">SUM(B16:B20)</f>
        <v>3830</v>
      </c>
      <c r="C21" s="50" t="n">
        <f aca="false">SUM(C16:C20)</f>
        <v>24010</v>
      </c>
      <c r="D21" s="50" t="n">
        <f aca="false">SUM(D16:D20)</f>
        <v>85950</v>
      </c>
      <c r="E21" s="50" t="n">
        <f aca="false">SUM(E16:E20)</f>
        <v>289550</v>
      </c>
      <c r="F21" s="50" t="n">
        <f aca="false">SUM(F16:F20)</f>
        <v>591550</v>
      </c>
    </row>
    <row r="22" customFormat="false" ht="15" hidden="false" customHeight="true" outlineLevel="0" collapsed="false"/>
    <row r="23" customFormat="false" ht="15" hidden="false" customHeight="true" outlineLevel="0" collapsed="false">
      <c r="A23" s="12" t="s">
        <v>216</v>
      </c>
      <c r="B23" s="13"/>
      <c r="C23" s="13"/>
      <c r="D23" s="13"/>
      <c r="E23" s="13"/>
      <c r="F23" s="13"/>
    </row>
    <row r="24" customFormat="false" ht="15" hidden="false" customHeight="true" outlineLevel="0" collapsed="false">
      <c r="A24" s="15" t="s">
        <v>217</v>
      </c>
      <c r="B24" s="52" t="n">
        <f aca="false">B13-B21</f>
        <v>-2030</v>
      </c>
      <c r="C24" s="52" t="n">
        <f aca="false">C13-C21</f>
        <v>-6010</v>
      </c>
      <c r="D24" s="52" t="n">
        <f aca="false">D13-D21</f>
        <v>4050</v>
      </c>
      <c r="E24" s="52" t="n">
        <f aca="false">E13-E21</f>
        <v>70450</v>
      </c>
      <c r="F24" s="52" t="n">
        <f aca="false">F13-F21</f>
        <v>308450</v>
      </c>
    </row>
    <row r="25" customFormat="false" ht="15" hidden="false" customHeight="true" outlineLevel="0" collapsed="false">
      <c r="A25" s="15" t="s">
        <v>218</v>
      </c>
      <c r="B25" s="53" t="n">
        <f aca="false">B24</f>
        <v>-2030</v>
      </c>
      <c r="C25" s="53" t="n">
        <f aca="false">B25+C24</f>
        <v>-8040</v>
      </c>
      <c r="D25" s="53" t="n">
        <f aca="false">C25+D24</f>
        <v>-3990</v>
      </c>
      <c r="E25" s="53" t="n">
        <f aca="false">D25+E24</f>
        <v>66460</v>
      </c>
      <c r="F25" s="53" t="n">
        <f aca="false">E25+F24</f>
        <v>374910</v>
      </c>
    </row>
    <row r="26" customFormat="false" ht="15" hidden="false" customHeight="true" outlineLevel="0" collapsed="false">
      <c r="A26" s="17" t="s">
        <v>219</v>
      </c>
      <c r="B26" s="54" t="n">
        <f aca="false">IFERROR(B24/B13,0)</f>
        <v>-1.12777777777778</v>
      </c>
      <c r="C26" s="54" t="n">
        <f aca="false">IFERROR(C24/C13,0)</f>
        <v>-0.333888888888889</v>
      </c>
      <c r="D26" s="54" t="n">
        <f aca="false">IFERROR(D24/D13,0)</f>
        <v>0.045</v>
      </c>
      <c r="E26" s="54" t="n">
        <f aca="false">IFERROR(E24/E13,0)</f>
        <v>0.195694444444444</v>
      </c>
      <c r="F26" s="54" t="n">
        <f aca="false">IFERROR(F24/F13,0)</f>
        <v>0.342722222222222</v>
      </c>
    </row>
    <row r="27" customFormat="false" ht="30" hidden="false" customHeight="true" outlineLevel="0" collapsed="false">
      <c r="A27" s="55"/>
      <c r="B27" s="55"/>
      <c r="C27" s="55"/>
      <c r="D27" s="55"/>
      <c r="E27" s="55"/>
      <c r="F27" s="55"/>
    </row>
    <row r="28" customFormat="false" ht="30" hidden="false" customHeight="true" outlineLevel="0" collapsed="false">
      <c r="A28" s="56" t="s">
        <v>220</v>
      </c>
      <c r="B28" s="56"/>
      <c r="C28" s="56"/>
      <c r="D28" s="56"/>
      <c r="E28" s="56"/>
      <c r="F28" s="56"/>
    </row>
    <row r="29" customFormat="false" ht="30" hidden="false" customHeight="true" outlineLevel="0" collapsed="false">
      <c r="A29" s="7" t="s">
        <v>221</v>
      </c>
      <c r="B29" s="7"/>
      <c r="C29" s="7"/>
      <c r="D29" s="7"/>
      <c r="E29" s="7"/>
      <c r="F29" s="7"/>
    </row>
    <row r="30" customFormat="false" ht="30" hidden="false" customHeight="true" outlineLevel="0" collapsed="false">
      <c r="A30" s="7" t="s">
        <v>222</v>
      </c>
      <c r="B30" s="7"/>
      <c r="C30" s="7"/>
      <c r="D30" s="7"/>
      <c r="E30" s="7"/>
      <c r="F30" s="7"/>
    </row>
    <row r="31" customFormat="false" ht="30" hidden="false" customHeight="true" outlineLevel="0" collapsed="false">
      <c r="A31" s="7" t="s">
        <v>223</v>
      </c>
      <c r="B31" s="7"/>
      <c r="C31" s="7"/>
      <c r="D31" s="7"/>
      <c r="E31" s="7"/>
      <c r="F31" s="7"/>
    </row>
    <row r="32" customFormat="false" ht="45.75" hidden="false" customHeight="true" outlineLevel="0" collapsed="false">
      <c r="A32" s="6" t="s">
        <v>224</v>
      </c>
    </row>
    <row r="33" customFormat="false" ht="45.75" hidden="false" customHeight="true" outlineLevel="0" collapsed="false">
      <c r="A33" s="6" t="s">
        <v>225</v>
      </c>
    </row>
    <row r="34" customFormat="false" ht="15" hidden="false" customHeight="true" outlineLevel="0" collapsed="false">
      <c r="A34" s="45" t="s">
        <v>226</v>
      </c>
    </row>
    <row r="35" customFormat="false" ht="15" hidden="false" customHeight="true" outlineLevel="0" collapsed="false">
      <c r="A35" s="45" t="s">
        <v>227</v>
      </c>
    </row>
  </sheetData>
  <mergeCells count="5">
    <mergeCell ref="A27:F27"/>
    <mergeCell ref="A28:F28"/>
    <mergeCell ref="A29:F29"/>
    <mergeCell ref="A30:F30"/>
    <mergeCell ref="A31:F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8"/>
    <col collapsed="false" customWidth="true" hidden="false" outlineLevel="0" max="5" min="2" style="1" width="16"/>
  </cols>
  <sheetData>
    <row r="1" customFormat="false" ht="19.5" hidden="false" customHeight="true" outlineLevel="0" collapsed="false">
      <c r="A1" s="10" t="s">
        <v>228</v>
      </c>
    </row>
    <row r="2" customFormat="false" ht="15" hidden="false" customHeight="true" outlineLevel="0" collapsed="false">
      <c r="A2" s="11" t="s">
        <v>229</v>
      </c>
    </row>
    <row r="4" customFormat="false" ht="21.75" hidden="false" customHeight="true" outlineLevel="0" collapsed="false">
      <c r="A4" s="12" t="s">
        <v>230</v>
      </c>
      <c r="B4" s="13"/>
      <c r="C4" s="13"/>
      <c r="D4" s="13"/>
      <c r="E4" s="13"/>
    </row>
    <row r="6" customFormat="false" ht="21.75" hidden="false" customHeight="true" outlineLevel="0" collapsed="false">
      <c r="A6" s="26" t="s">
        <v>231</v>
      </c>
      <c r="B6" s="57" t="s">
        <v>232</v>
      </c>
      <c r="C6" s="57" t="s">
        <v>233</v>
      </c>
      <c r="D6" s="57" t="s">
        <v>234</v>
      </c>
      <c r="E6" s="57" t="s">
        <v>235</v>
      </c>
    </row>
    <row r="7" customFormat="false" ht="15" hidden="false" customHeight="true" outlineLevel="0" collapsed="false">
      <c r="A7" s="39" t="s">
        <v>236</v>
      </c>
      <c r="B7" s="23" t="n">
        <f aca="false">(250000*0.01*'1. Assumptions'!$B$13)*(1-'1. Assumptions'!$B$46)-(150000*'1. Assumptions'!$B$16*'1. Assumptions'!$B$17+12000+'1. Assumptions'!$B$37+'1. Assumptions'!$F$50)</f>
        <v>-123550</v>
      </c>
      <c r="C7" s="23" t="n">
        <f aca="false">(250000*0.03*'1. Assumptions'!$B$13)*(1-'1. Assumptions'!$B$46)-(150000*'1. Assumptions'!$B$16*'1. Assumptions'!$B$17+12000+'1. Assumptions'!$B$37+'1. Assumptions'!$F$50)</f>
        <v>146450</v>
      </c>
      <c r="D7" s="23" t="n">
        <f aca="false">(250000*0.05*'1. Assumptions'!$B$13)*(1-'1. Assumptions'!$B$46)-(150000*'1. Assumptions'!$B$16*'1. Assumptions'!$B$17+12000+'1. Assumptions'!$B$37+'1. Assumptions'!$F$50)</f>
        <v>416450</v>
      </c>
      <c r="E7" s="23" t="n">
        <f aca="false">(250000*0.1*'1. Assumptions'!$B$13)*(1-'1. Assumptions'!$B$46)-(150000*'1. Assumptions'!$B$16*'1. Assumptions'!$B$17+12000+'1. Assumptions'!$B$37+'1. Assumptions'!$F$50)</f>
        <v>1091450</v>
      </c>
    </row>
    <row r="8" customFormat="false" ht="15" hidden="false" customHeight="true" outlineLevel="0" collapsed="false">
      <c r="A8" s="39" t="s">
        <v>237</v>
      </c>
      <c r="B8" s="23" t="n">
        <f aca="false">(500000*0.01*'1. Assumptions'!$B$13)*(1-'1. Assumptions'!$B$46)-(300000*'1. Assumptions'!$B$16*'1. Assumptions'!$B$17+30000+'1. Assumptions'!$B$37+'1. Assumptions'!$F$50)</f>
        <v>-231550</v>
      </c>
      <c r="C8" s="58" t="n">
        <f aca="false">(500000*0.03*'1. Assumptions'!$B$13)*(1-'1. Assumptions'!$B$46)-(300000*'1. Assumptions'!$B$16*'1. Assumptions'!$B$17+30000+'1. Assumptions'!$B$37+'1. Assumptions'!$F$50)</f>
        <v>308450</v>
      </c>
      <c r="D8" s="23" t="n">
        <f aca="false">(500000*0.05*'1. Assumptions'!$B$13)*(1-'1. Assumptions'!$B$46)-(300000*'1. Assumptions'!$B$16*'1. Assumptions'!$B$17+30000+'1. Assumptions'!$B$37+'1. Assumptions'!$F$50)</f>
        <v>848450</v>
      </c>
      <c r="E8" s="23" t="n">
        <f aca="false">(500000*0.1*'1. Assumptions'!$B$13)*(1-'1. Assumptions'!$B$46)-(300000*'1. Assumptions'!$B$16*'1. Assumptions'!$B$17+30000+'1. Assumptions'!$B$37+'1. Assumptions'!$F$50)</f>
        <v>2198450</v>
      </c>
    </row>
    <row r="9" customFormat="false" ht="15" hidden="false" customHeight="true" outlineLevel="0" collapsed="false">
      <c r="A9" s="39" t="s">
        <v>238</v>
      </c>
      <c r="B9" s="23" t="n">
        <f aca="false">(1000000*0.01*'1. Assumptions'!$B$13)*(1-'1. Assumptions'!$B$46)-(500000*'1. Assumptions'!$B$16*'1. Assumptions'!$B$17+60000+'1. Assumptions'!$B$37+'1. Assumptions'!$F$50)</f>
        <v>-291550</v>
      </c>
      <c r="C9" s="23" t="n">
        <f aca="false">(1000000*0.03*'1. Assumptions'!$B$13)*(1-'1. Assumptions'!$B$46)-(500000*'1. Assumptions'!$B$16*'1. Assumptions'!$B$17+60000+'1. Assumptions'!$B$37+'1. Assumptions'!$F$50)</f>
        <v>788450</v>
      </c>
      <c r="D9" s="23" t="n">
        <f aca="false">(1000000*0.05*'1. Assumptions'!$B$13)*(1-'1. Assumptions'!$B$46)-(500000*'1. Assumptions'!$B$16*'1. Assumptions'!$B$17+60000+'1. Assumptions'!$B$37+'1. Assumptions'!$F$50)</f>
        <v>1868450</v>
      </c>
      <c r="E9" s="23" t="n">
        <f aca="false">(1000000*0.1*'1. Assumptions'!$B$13)*(1-'1. Assumptions'!$B$46)-(500000*'1. Assumptions'!$B$16*'1. Assumptions'!$B$17+60000+'1. Assumptions'!$B$37+'1. Assumptions'!$F$50)</f>
        <v>4568450</v>
      </c>
    </row>
    <row r="11" customFormat="false" ht="15" hidden="false" customHeight="true" outlineLevel="0" collapsed="false">
      <c r="A11" s="5" t="s">
        <v>239</v>
      </c>
    </row>
    <row r="12" customFormat="false" ht="27.75" hidden="false" customHeight="true" outlineLevel="0" collapsed="false">
      <c r="A12" s="7" t="s">
        <v>240</v>
      </c>
      <c r="B12" s="7"/>
      <c r="C12" s="7"/>
      <c r="D12" s="7"/>
      <c r="E12" s="7"/>
    </row>
    <row r="13" customFormat="false" ht="27.75" hidden="false" customHeight="true" outlineLevel="0" collapsed="false">
      <c r="A13" s="7" t="s">
        <v>241</v>
      </c>
      <c r="B13" s="7"/>
      <c r="C13" s="7"/>
      <c r="D13" s="7"/>
      <c r="E13" s="7"/>
    </row>
    <row r="14" customFormat="false" ht="27.75" hidden="false" customHeight="true" outlineLevel="0" collapsed="false">
      <c r="A14" s="7" t="s">
        <v>242</v>
      </c>
      <c r="B14" s="7"/>
      <c r="C14" s="7"/>
      <c r="D14" s="7"/>
      <c r="E14" s="7"/>
    </row>
    <row r="15" customFormat="false" ht="27.75" hidden="false" customHeight="true" outlineLevel="0" collapsed="false">
      <c r="A15" s="7" t="s">
        <v>243</v>
      </c>
      <c r="B15" s="7"/>
      <c r="C15" s="7"/>
      <c r="D15" s="7"/>
      <c r="E15" s="7"/>
    </row>
    <row r="16" customFormat="false" ht="15" hidden="false" customHeight="true" outlineLevel="0" collapsed="false">
      <c r="A16" s="45" t="s">
        <v>244</v>
      </c>
    </row>
  </sheetData>
  <mergeCells count="4">
    <mergeCell ref="A12:E12"/>
    <mergeCell ref="A13:E13"/>
    <mergeCell ref="A14:E14"/>
    <mergeCell ref="A15:E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2026-05-18T14:53:51Z</dcterms:created>
  <dc:creator>openpyxl</dc:creator>
  <dc:description/>
  <dc:language>en-US</dc:language>
  <cp:lastModifiedBy/>
  <dcterms:modified xsi:type="dcterms:W3CDTF">2026-05-20T13:46:37Z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